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excel-mech project\"/>
    </mc:Choice>
  </mc:AlternateContent>
  <xr:revisionPtr revIDLastSave="0" documentId="13_ncr:1_{EC5C23C6-32BC-49C2-B458-60236CF68A5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terials Properties" sheetId="5" r:id="rId1"/>
    <sheet name="Cantilever + Point Load " sheetId="1" r:id="rId2"/>
    <sheet name="Cantilever + UDL" sheetId="2" r:id="rId3"/>
    <sheet name="Simply Supported + Point Load" sheetId="3" r:id="rId4"/>
    <sheet name="Simply Supported + UDL" sheetId="4" r:id="rId5"/>
    <sheet name="Graphs" sheetId="6" r:id="rId6"/>
    <sheet name="Data for graphs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7" l="1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G6" i="7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5" i="7"/>
  <c r="M5" i="7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C94" i="4"/>
  <c r="D94" i="4" s="1"/>
  <c r="F94" i="4" s="1"/>
  <c r="B94" i="4"/>
  <c r="E94" i="4" s="1"/>
  <c r="C93" i="4"/>
  <c r="D93" i="4" s="1"/>
  <c r="F93" i="4" s="1"/>
  <c r="B93" i="4"/>
  <c r="E93" i="4" s="1"/>
  <c r="D92" i="4"/>
  <c r="F92" i="4" s="1"/>
  <c r="C92" i="4"/>
  <c r="B92" i="4"/>
  <c r="E92" i="4" s="1"/>
  <c r="D91" i="4"/>
  <c r="F91" i="4" s="1"/>
  <c r="C91" i="4"/>
  <c r="B91" i="4"/>
  <c r="E91" i="4" s="1"/>
  <c r="C90" i="4"/>
  <c r="D90" i="4" s="1"/>
  <c r="F90" i="4" s="1"/>
  <c r="B90" i="4"/>
  <c r="E90" i="4" s="1"/>
  <c r="C89" i="4"/>
  <c r="D89" i="4" s="1"/>
  <c r="F89" i="4" s="1"/>
  <c r="B89" i="4"/>
  <c r="E89" i="4" s="1"/>
  <c r="C88" i="4"/>
  <c r="D88" i="4" s="1"/>
  <c r="F88" i="4" s="1"/>
  <c r="B88" i="4"/>
  <c r="E88" i="4" s="1"/>
  <c r="C87" i="4"/>
  <c r="D87" i="4" s="1"/>
  <c r="F87" i="4" s="1"/>
  <c r="B87" i="4"/>
  <c r="E87" i="4" s="1"/>
  <c r="C86" i="4"/>
  <c r="D86" i="4" s="1"/>
  <c r="F86" i="4" s="1"/>
  <c r="B86" i="4"/>
  <c r="E86" i="4" s="1"/>
  <c r="C85" i="4"/>
  <c r="D85" i="4" s="1"/>
  <c r="F85" i="4" s="1"/>
  <c r="B85" i="4"/>
  <c r="E85" i="4" s="1"/>
  <c r="C84" i="4"/>
  <c r="D84" i="4" s="1"/>
  <c r="F84" i="4" s="1"/>
  <c r="B84" i="4"/>
  <c r="E84" i="4" s="1"/>
  <c r="C83" i="4"/>
  <c r="D83" i="4" s="1"/>
  <c r="F83" i="4" s="1"/>
  <c r="B83" i="4"/>
  <c r="E83" i="4" s="1"/>
  <c r="C82" i="4"/>
  <c r="D82" i="4" s="1"/>
  <c r="F82" i="4" s="1"/>
  <c r="B82" i="4"/>
  <c r="E82" i="4" s="1"/>
  <c r="C81" i="4"/>
  <c r="D81" i="4" s="1"/>
  <c r="F81" i="4" s="1"/>
  <c r="B81" i="4"/>
  <c r="E81" i="4" s="1"/>
  <c r="C80" i="4"/>
  <c r="D80" i="4" s="1"/>
  <c r="F80" i="4" s="1"/>
  <c r="B80" i="4"/>
  <c r="E80" i="4" s="1"/>
  <c r="C79" i="4"/>
  <c r="D79" i="4" s="1"/>
  <c r="F79" i="4" s="1"/>
  <c r="B79" i="4"/>
  <c r="E79" i="4" s="1"/>
  <c r="C78" i="4"/>
  <c r="D78" i="4" s="1"/>
  <c r="F78" i="4" s="1"/>
  <c r="B78" i="4"/>
  <c r="E78" i="4" s="1"/>
  <c r="C77" i="4"/>
  <c r="D77" i="4" s="1"/>
  <c r="F77" i="4" s="1"/>
  <c r="B77" i="4"/>
  <c r="E77" i="4" s="1"/>
  <c r="C76" i="4"/>
  <c r="D76" i="4" s="1"/>
  <c r="F76" i="4" s="1"/>
  <c r="B76" i="4"/>
  <c r="E76" i="4" s="1"/>
  <c r="C75" i="4"/>
  <c r="D75" i="4" s="1"/>
  <c r="F75" i="4" s="1"/>
  <c r="B75" i="4"/>
  <c r="E75" i="4" s="1"/>
  <c r="C71" i="4"/>
  <c r="D71" i="4" s="1"/>
  <c r="F71" i="4" s="1"/>
  <c r="B71" i="4"/>
  <c r="E71" i="4" s="1"/>
  <c r="C70" i="4"/>
  <c r="D70" i="4" s="1"/>
  <c r="F70" i="4" s="1"/>
  <c r="B70" i="4"/>
  <c r="E70" i="4" s="1"/>
  <c r="C69" i="4"/>
  <c r="D69" i="4" s="1"/>
  <c r="F69" i="4" s="1"/>
  <c r="B69" i="4"/>
  <c r="E69" i="4" s="1"/>
  <c r="C68" i="4"/>
  <c r="D68" i="4" s="1"/>
  <c r="F68" i="4" s="1"/>
  <c r="B68" i="4"/>
  <c r="E68" i="4" s="1"/>
  <c r="C67" i="4"/>
  <c r="D67" i="4" s="1"/>
  <c r="F67" i="4" s="1"/>
  <c r="B67" i="4"/>
  <c r="E67" i="4" s="1"/>
  <c r="C66" i="4"/>
  <c r="D66" i="4" s="1"/>
  <c r="F66" i="4" s="1"/>
  <c r="B66" i="4"/>
  <c r="E66" i="4" s="1"/>
  <c r="C65" i="4"/>
  <c r="D65" i="4" s="1"/>
  <c r="F65" i="4" s="1"/>
  <c r="B65" i="4"/>
  <c r="E65" i="4" s="1"/>
  <c r="C64" i="4"/>
  <c r="D64" i="4" s="1"/>
  <c r="F64" i="4" s="1"/>
  <c r="B64" i="4"/>
  <c r="E64" i="4" s="1"/>
  <c r="C63" i="4"/>
  <c r="D63" i="4" s="1"/>
  <c r="F63" i="4" s="1"/>
  <c r="B63" i="4"/>
  <c r="E63" i="4" s="1"/>
  <c r="C62" i="4"/>
  <c r="D62" i="4" s="1"/>
  <c r="F62" i="4" s="1"/>
  <c r="B62" i="4"/>
  <c r="E62" i="4" s="1"/>
  <c r="C61" i="4"/>
  <c r="D61" i="4" s="1"/>
  <c r="F61" i="4" s="1"/>
  <c r="B61" i="4"/>
  <c r="E61" i="4" s="1"/>
  <c r="C60" i="4"/>
  <c r="D60" i="4" s="1"/>
  <c r="F60" i="4" s="1"/>
  <c r="B60" i="4"/>
  <c r="E60" i="4" s="1"/>
  <c r="C59" i="4"/>
  <c r="D59" i="4" s="1"/>
  <c r="F59" i="4" s="1"/>
  <c r="B59" i="4"/>
  <c r="E59" i="4" s="1"/>
  <c r="C58" i="4"/>
  <c r="D58" i="4" s="1"/>
  <c r="F58" i="4" s="1"/>
  <c r="B58" i="4"/>
  <c r="E58" i="4" s="1"/>
  <c r="C57" i="4"/>
  <c r="D57" i="4" s="1"/>
  <c r="F57" i="4" s="1"/>
  <c r="B57" i="4"/>
  <c r="E57" i="4" s="1"/>
  <c r="C56" i="4"/>
  <c r="D56" i="4" s="1"/>
  <c r="F56" i="4" s="1"/>
  <c r="B56" i="4"/>
  <c r="E56" i="4" s="1"/>
  <c r="C55" i="4"/>
  <c r="D55" i="4" s="1"/>
  <c r="F55" i="4" s="1"/>
  <c r="B55" i="4"/>
  <c r="E55" i="4" s="1"/>
  <c r="C54" i="4"/>
  <c r="D54" i="4" s="1"/>
  <c r="F54" i="4" s="1"/>
  <c r="B54" i="4"/>
  <c r="E54" i="4" s="1"/>
  <c r="C53" i="4"/>
  <c r="D53" i="4" s="1"/>
  <c r="F53" i="4" s="1"/>
  <c r="B53" i="4"/>
  <c r="E53" i="4" s="1"/>
  <c r="C52" i="4"/>
  <c r="D52" i="4" s="1"/>
  <c r="F52" i="4" s="1"/>
  <c r="B52" i="4"/>
  <c r="E52" i="4" s="1"/>
  <c r="C48" i="4"/>
  <c r="D48" i="4" s="1"/>
  <c r="F48" i="4" s="1"/>
  <c r="B48" i="4"/>
  <c r="E48" i="4" s="1"/>
  <c r="C47" i="4"/>
  <c r="D47" i="4" s="1"/>
  <c r="F47" i="4" s="1"/>
  <c r="B47" i="4"/>
  <c r="E47" i="4" s="1"/>
  <c r="C46" i="4"/>
  <c r="D46" i="4" s="1"/>
  <c r="F46" i="4" s="1"/>
  <c r="B46" i="4"/>
  <c r="E46" i="4" s="1"/>
  <c r="C45" i="4"/>
  <c r="D45" i="4" s="1"/>
  <c r="F45" i="4" s="1"/>
  <c r="B45" i="4"/>
  <c r="E45" i="4" s="1"/>
  <c r="C44" i="4"/>
  <c r="D44" i="4" s="1"/>
  <c r="F44" i="4" s="1"/>
  <c r="B44" i="4"/>
  <c r="E44" i="4" s="1"/>
  <c r="C43" i="4"/>
  <c r="D43" i="4" s="1"/>
  <c r="F43" i="4" s="1"/>
  <c r="B43" i="4"/>
  <c r="E43" i="4" s="1"/>
  <c r="C42" i="4"/>
  <c r="D42" i="4" s="1"/>
  <c r="F42" i="4" s="1"/>
  <c r="B42" i="4"/>
  <c r="E42" i="4" s="1"/>
  <c r="C41" i="4"/>
  <c r="D41" i="4" s="1"/>
  <c r="F41" i="4" s="1"/>
  <c r="B41" i="4"/>
  <c r="E41" i="4" s="1"/>
  <c r="C40" i="4"/>
  <c r="D40" i="4" s="1"/>
  <c r="F40" i="4" s="1"/>
  <c r="B40" i="4"/>
  <c r="E40" i="4" s="1"/>
  <c r="C39" i="4"/>
  <c r="D39" i="4" s="1"/>
  <c r="F39" i="4" s="1"/>
  <c r="B39" i="4"/>
  <c r="E39" i="4" s="1"/>
  <c r="C38" i="4"/>
  <c r="D38" i="4" s="1"/>
  <c r="F38" i="4" s="1"/>
  <c r="B38" i="4"/>
  <c r="E38" i="4" s="1"/>
  <c r="C37" i="4"/>
  <c r="D37" i="4" s="1"/>
  <c r="F37" i="4" s="1"/>
  <c r="B37" i="4"/>
  <c r="E37" i="4" s="1"/>
  <c r="C36" i="4"/>
  <c r="D36" i="4" s="1"/>
  <c r="F36" i="4" s="1"/>
  <c r="B36" i="4"/>
  <c r="E36" i="4" s="1"/>
  <c r="C35" i="4"/>
  <c r="D35" i="4" s="1"/>
  <c r="F35" i="4" s="1"/>
  <c r="B35" i="4"/>
  <c r="E35" i="4" s="1"/>
  <c r="C34" i="4"/>
  <c r="D34" i="4" s="1"/>
  <c r="F34" i="4" s="1"/>
  <c r="B34" i="4"/>
  <c r="E34" i="4" s="1"/>
  <c r="C33" i="4"/>
  <c r="D33" i="4" s="1"/>
  <c r="F33" i="4" s="1"/>
  <c r="B33" i="4"/>
  <c r="E33" i="4" s="1"/>
  <c r="C32" i="4"/>
  <c r="D32" i="4" s="1"/>
  <c r="F32" i="4" s="1"/>
  <c r="B32" i="4"/>
  <c r="E32" i="4" s="1"/>
  <c r="C31" i="4"/>
  <c r="D31" i="4" s="1"/>
  <c r="F31" i="4" s="1"/>
  <c r="B31" i="4"/>
  <c r="E31" i="4" s="1"/>
  <c r="E30" i="4"/>
  <c r="C30" i="4"/>
  <c r="D30" i="4" s="1"/>
  <c r="F30" i="4" s="1"/>
  <c r="B30" i="4"/>
  <c r="C29" i="4"/>
  <c r="D29" i="4" s="1"/>
  <c r="F29" i="4" s="1"/>
  <c r="B29" i="4"/>
  <c r="E29" i="4" s="1"/>
  <c r="C25" i="4"/>
  <c r="D25" i="4" s="1"/>
  <c r="F25" i="4" s="1"/>
  <c r="B25" i="4"/>
  <c r="E25" i="4" s="1"/>
  <c r="C24" i="4"/>
  <c r="D24" i="4" s="1"/>
  <c r="F24" i="4" s="1"/>
  <c r="B24" i="4"/>
  <c r="E24" i="4" s="1"/>
  <c r="C23" i="4"/>
  <c r="D23" i="4" s="1"/>
  <c r="F23" i="4" s="1"/>
  <c r="B23" i="4"/>
  <c r="E23" i="4" s="1"/>
  <c r="C22" i="4"/>
  <c r="D22" i="4" s="1"/>
  <c r="F22" i="4" s="1"/>
  <c r="B22" i="4"/>
  <c r="E22" i="4" s="1"/>
  <c r="C21" i="4"/>
  <c r="D21" i="4" s="1"/>
  <c r="F21" i="4" s="1"/>
  <c r="B21" i="4"/>
  <c r="E21" i="4" s="1"/>
  <c r="C20" i="4"/>
  <c r="D20" i="4" s="1"/>
  <c r="F20" i="4" s="1"/>
  <c r="B20" i="4"/>
  <c r="E20" i="4" s="1"/>
  <c r="C19" i="4"/>
  <c r="D19" i="4" s="1"/>
  <c r="F19" i="4" s="1"/>
  <c r="B19" i="4"/>
  <c r="E19" i="4" s="1"/>
  <c r="C18" i="4"/>
  <c r="D18" i="4" s="1"/>
  <c r="F18" i="4" s="1"/>
  <c r="B18" i="4"/>
  <c r="E18" i="4" s="1"/>
  <c r="C17" i="4"/>
  <c r="D17" i="4" s="1"/>
  <c r="F17" i="4" s="1"/>
  <c r="B17" i="4"/>
  <c r="E17" i="4" s="1"/>
  <c r="C16" i="4"/>
  <c r="D16" i="4" s="1"/>
  <c r="F16" i="4" s="1"/>
  <c r="B16" i="4"/>
  <c r="E16" i="4" s="1"/>
  <c r="C15" i="4"/>
  <c r="D15" i="4" s="1"/>
  <c r="F15" i="4" s="1"/>
  <c r="B15" i="4"/>
  <c r="E15" i="4" s="1"/>
  <c r="C14" i="4"/>
  <c r="D14" i="4" s="1"/>
  <c r="F14" i="4" s="1"/>
  <c r="B14" i="4"/>
  <c r="E14" i="4" s="1"/>
  <c r="C13" i="4"/>
  <c r="D13" i="4" s="1"/>
  <c r="F13" i="4" s="1"/>
  <c r="B13" i="4"/>
  <c r="E13" i="4" s="1"/>
  <c r="C12" i="4"/>
  <c r="D12" i="4" s="1"/>
  <c r="F12" i="4" s="1"/>
  <c r="B12" i="4"/>
  <c r="E12" i="4" s="1"/>
  <c r="C11" i="4"/>
  <c r="D11" i="4" s="1"/>
  <c r="F11" i="4" s="1"/>
  <c r="B11" i="4"/>
  <c r="E11" i="4" s="1"/>
  <c r="C10" i="4"/>
  <c r="D10" i="4" s="1"/>
  <c r="F10" i="4" s="1"/>
  <c r="B10" i="4"/>
  <c r="E10" i="4" s="1"/>
  <c r="C9" i="4"/>
  <c r="D9" i="4" s="1"/>
  <c r="F9" i="4" s="1"/>
  <c r="B9" i="4"/>
  <c r="E9" i="4" s="1"/>
  <c r="C8" i="4"/>
  <c r="D8" i="4" s="1"/>
  <c r="F8" i="4" s="1"/>
  <c r="B8" i="4"/>
  <c r="E8" i="4" s="1"/>
  <c r="C7" i="4"/>
  <c r="D7" i="4" s="1"/>
  <c r="F7" i="4" s="1"/>
  <c r="B7" i="4"/>
  <c r="E7" i="4" s="1"/>
  <c r="C6" i="4"/>
  <c r="D6" i="4" s="1"/>
  <c r="F6" i="4" s="1"/>
  <c r="B6" i="4"/>
  <c r="E6" i="4" s="1"/>
  <c r="C94" i="3"/>
  <c r="B94" i="3"/>
  <c r="E94" i="3" s="1"/>
  <c r="C93" i="3"/>
  <c r="B93" i="3"/>
  <c r="E93" i="3" s="1"/>
  <c r="C92" i="3"/>
  <c r="B92" i="3"/>
  <c r="E92" i="3" s="1"/>
  <c r="C91" i="3"/>
  <c r="B91" i="3"/>
  <c r="E91" i="3" s="1"/>
  <c r="C90" i="3"/>
  <c r="B90" i="3"/>
  <c r="E90" i="3" s="1"/>
  <c r="C89" i="3"/>
  <c r="B89" i="3"/>
  <c r="E89" i="3" s="1"/>
  <c r="C88" i="3"/>
  <c r="B88" i="3"/>
  <c r="E88" i="3" s="1"/>
  <c r="C87" i="3"/>
  <c r="B87" i="3"/>
  <c r="E87" i="3" s="1"/>
  <c r="C86" i="3"/>
  <c r="B86" i="3"/>
  <c r="E86" i="3" s="1"/>
  <c r="C85" i="3"/>
  <c r="D85" i="3" s="1"/>
  <c r="F85" i="3" s="1"/>
  <c r="B85" i="3"/>
  <c r="E85" i="3" s="1"/>
  <c r="C84" i="3"/>
  <c r="B84" i="3"/>
  <c r="E84" i="3" s="1"/>
  <c r="C83" i="3"/>
  <c r="D83" i="3" s="1"/>
  <c r="F83" i="3" s="1"/>
  <c r="B83" i="3"/>
  <c r="E83" i="3" s="1"/>
  <c r="C82" i="3"/>
  <c r="D82" i="3" s="1"/>
  <c r="F82" i="3" s="1"/>
  <c r="B82" i="3"/>
  <c r="E82" i="3" s="1"/>
  <c r="C81" i="3"/>
  <c r="D81" i="3" s="1"/>
  <c r="F81" i="3" s="1"/>
  <c r="B81" i="3"/>
  <c r="E81" i="3" s="1"/>
  <c r="C80" i="3"/>
  <c r="D80" i="3" s="1"/>
  <c r="F80" i="3" s="1"/>
  <c r="B80" i="3"/>
  <c r="E80" i="3" s="1"/>
  <c r="C79" i="3"/>
  <c r="B79" i="3"/>
  <c r="E79" i="3" s="1"/>
  <c r="C78" i="3"/>
  <c r="D78" i="3" s="1"/>
  <c r="F78" i="3" s="1"/>
  <c r="B78" i="3"/>
  <c r="E78" i="3" s="1"/>
  <c r="C77" i="3"/>
  <c r="D77" i="3" s="1"/>
  <c r="F77" i="3" s="1"/>
  <c r="B77" i="3"/>
  <c r="E77" i="3" s="1"/>
  <c r="C76" i="3"/>
  <c r="D76" i="3" s="1"/>
  <c r="F76" i="3" s="1"/>
  <c r="B76" i="3"/>
  <c r="E76" i="3" s="1"/>
  <c r="C75" i="3"/>
  <c r="D75" i="3" s="1"/>
  <c r="F75" i="3" s="1"/>
  <c r="B75" i="3"/>
  <c r="E75" i="3" s="1"/>
  <c r="C71" i="3"/>
  <c r="D71" i="3" s="1"/>
  <c r="F71" i="3" s="1"/>
  <c r="B71" i="3"/>
  <c r="E71" i="3" s="1"/>
  <c r="C70" i="3"/>
  <c r="D70" i="3" s="1"/>
  <c r="F70" i="3" s="1"/>
  <c r="B70" i="3"/>
  <c r="E70" i="3" s="1"/>
  <c r="C69" i="3"/>
  <c r="D69" i="3" s="1"/>
  <c r="F69" i="3" s="1"/>
  <c r="B69" i="3"/>
  <c r="E69" i="3" s="1"/>
  <c r="C68" i="3"/>
  <c r="B68" i="3"/>
  <c r="E68" i="3" s="1"/>
  <c r="C67" i="3"/>
  <c r="B67" i="3"/>
  <c r="E67" i="3" s="1"/>
  <c r="C66" i="3"/>
  <c r="D66" i="3" s="1"/>
  <c r="F66" i="3" s="1"/>
  <c r="B66" i="3"/>
  <c r="E66" i="3" s="1"/>
  <c r="C65" i="3"/>
  <c r="D65" i="3" s="1"/>
  <c r="F65" i="3" s="1"/>
  <c r="B65" i="3"/>
  <c r="E65" i="3" s="1"/>
  <c r="C64" i="3"/>
  <c r="B64" i="3"/>
  <c r="E64" i="3" s="1"/>
  <c r="C63" i="3"/>
  <c r="D63" i="3" s="1"/>
  <c r="F63" i="3" s="1"/>
  <c r="B63" i="3"/>
  <c r="E63" i="3" s="1"/>
  <c r="C62" i="3"/>
  <c r="D62" i="3" s="1"/>
  <c r="F62" i="3" s="1"/>
  <c r="B62" i="3"/>
  <c r="E62" i="3" s="1"/>
  <c r="C61" i="3"/>
  <c r="D61" i="3" s="1"/>
  <c r="F61" i="3" s="1"/>
  <c r="B61" i="3"/>
  <c r="E61" i="3" s="1"/>
  <c r="C60" i="3"/>
  <c r="D60" i="3" s="1"/>
  <c r="F60" i="3" s="1"/>
  <c r="B60" i="3"/>
  <c r="E60" i="3" s="1"/>
  <c r="C59" i="3"/>
  <c r="D59" i="3" s="1"/>
  <c r="F59" i="3" s="1"/>
  <c r="B59" i="3"/>
  <c r="E59" i="3" s="1"/>
  <c r="C58" i="3"/>
  <c r="B58" i="3"/>
  <c r="C57" i="3"/>
  <c r="D57" i="3" s="1"/>
  <c r="F57" i="3" s="1"/>
  <c r="B57" i="3"/>
  <c r="E57" i="3" s="1"/>
  <c r="C56" i="3"/>
  <c r="B56" i="3"/>
  <c r="E56" i="3" s="1"/>
  <c r="C55" i="3"/>
  <c r="D55" i="3" s="1"/>
  <c r="F55" i="3" s="1"/>
  <c r="B55" i="3"/>
  <c r="E55" i="3" s="1"/>
  <c r="C54" i="3"/>
  <c r="D54" i="3" s="1"/>
  <c r="F54" i="3" s="1"/>
  <c r="B54" i="3"/>
  <c r="E54" i="3" s="1"/>
  <c r="C53" i="3"/>
  <c r="B53" i="3"/>
  <c r="E53" i="3" s="1"/>
  <c r="C52" i="3"/>
  <c r="D52" i="3" s="1"/>
  <c r="F52" i="3" s="1"/>
  <c r="B52" i="3"/>
  <c r="E52" i="3" s="1"/>
  <c r="C48" i="3"/>
  <c r="D48" i="3" s="1"/>
  <c r="F48" i="3" s="1"/>
  <c r="B48" i="3"/>
  <c r="E48" i="3" s="1"/>
  <c r="C47" i="3"/>
  <c r="D47" i="3" s="1"/>
  <c r="F47" i="3" s="1"/>
  <c r="B47" i="3"/>
  <c r="E47" i="3" s="1"/>
  <c r="C46" i="3"/>
  <c r="B46" i="3"/>
  <c r="E46" i="3" s="1"/>
  <c r="C45" i="3"/>
  <c r="D45" i="3" s="1"/>
  <c r="F45" i="3" s="1"/>
  <c r="B45" i="3"/>
  <c r="E45" i="3" s="1"/>
  <c r="C44" i="3"/>
  <c r="D44" i="3" s="1"/>
  <c r="F44" i="3" s="1"/>
  <c r="B44" i="3"/>
  <c r="E44" i="3" s="1"/>
  <c r="C43" i="3"/>
  <c r="D43" i="3" s="1"/>
  <c r="F43" i="3" s="1"/>
  <c r="B43" i="3"/>
  <c r="E43" i="3" s="1"/>
  <c r="C42" i="3"/>
  <c r="D42" i="3" s="1"/>
  <c r="F42" i="3" s="1"/>
  <c r="B42" i="3"/>
  <c r="E42" i="3" s="1"/>
  <c r="C41" i="3"/>
  <c r="D41" i="3" s="1"/>
  <c r="F41" i="3" s="1"/>
  <c r="B41" i="3"/>
  <c r="E41" i="3" s="1"/>
  <c r="C40" i="3"/>
  <c r="D40" i="3" s="1"/>
  <c r="F40" i="3" s="1"/>
  <c r="B40" i="3"/>
  <c r="E40" i="3" s="1"/>
  <c r="C39" i="3"/>
  <c r="D39" i="3" s="1"/>
  <c r="F39" i="3" s="1"/>
  <c r="B39" i="3"/>
  <c r="E39" i="3" s="1"/>
  <c r="C38" i="3"/>
  <c r="D38" i="3" s="1"/>
  <c r="F38" i="3" s="1"/>
  <c r="B38" i="3"/>
  <c r="E38" i="3" s="1"/>
  <c r="C37" i="3"/>
  <c r="D37" i="3" s="1"/>
  <c r="F37" i="3" s="1"/>
  <c r="B37" i="3"/>
  <c r="E37" i="3" s="1"/>
  <c r="C36" i="3"/>
  <c r="B36" i="3"/>
  <c r="E36" i="3" s="1"/>
  <c r="C35" i="3"/>
  <c r="D35" i="3" s="1"/>
  <c r="F35" i="3" s="1"/>
  <c r="B35" i="3"/>
  <c r="E35" i="3" s="1"/>
  <c r="C34" i="3"/>
  <c r="D34" i="3" s="1"/>
  <c r="F34" i="3" s="1"/>
  <c r="B34" i="3"/>
  <c r="E34" i="3" s="1"/>
  <c r="C33" i="3"/>
  <c r="D33" i="3" s="1"/>
  <c r="F33" i="3" s="1"/>
  <c r="B33" i="3"/>
  <c r="E33" i="3" s="1"/>
  <c r="C32" i="3"/>
  <c r="D32" i="3" s="1"/>
  <c r="F32" i="3" s="1"/>
  <c r="B32" i="3"/>
  <c r="E32" i="3" s="1"/>
  <c r="C31" i="3"/>
  <c r="B31" i="3"/>
  <c r="E31" i="3" s="1"/>
  <c r="C30" i="3"/>
  <c r="D30" i="3" s="1"/>
  <c r="F30" i="3" s="1"/>
  <c r="B30" i="3"/>
  <c r="E30" i="3" s="1"/>
  <c r="C29" i="3"/>
  <c r="D29" i="3" s="1"/>
  <c r="F29" i="3" s="1"/>
  <c r="B29" i="3"/>
  <c r="E29" i="3" s="1"/>
  <c r="C25" i="3"/>
  <c r="D25" i="3" s="1"/>
  <c r="F25" i="3" s="1"/>
  <c r="B25" i="3"/>
  <c r="E25" i="3" s="1"/>
  <c r="C24" i="3"/>
  <c r="D24" i="3" s="1"/>
  <c r="F24" i="3" s="1"/>
  <c r="B24" i="3"/>
  <c r="E24" i="3" s="1"/>
  <c r="C23" i="3"/>
  <c r="D23" i="3" s="1"/>
  <c r="F23" i="3" s="1"/>
  <c r="B23" i="3"/>
  <c r="E23" i="3" s="1"/>
  <c r="C22" i="3"/>
  <c r="D22" i="3" s="1"/>
  <c r="F22" i="3" s="1"/>
  <c r="B22" i="3"/>
  <c r="E22" i="3" s="1"/>
  <c r="C21" i="3"/>
  <c r="D21" i="3" s="1"/>
  <c r="F21" i="3" s="1"/>
  <c r="B21" i="3"/>
  <c r="E21" i="3" s="1"/>
  <c r="C20" i="3"/>
  <c r="D20" i="3" s="1"/>
  <c r="F20" i="3" s="1"/>
  <c r="B20" i="3"/>
  <c r="E20" i="3" s="1"/>
  <c r="C19" i="3"/>
  <c r="D19" i="3" s="1"/>
  <c r="F19" i="3" s="1"/>
  <c r="B19" i="3"/>
  <c r="E19" i="3" s="1"/>
  <c r="C18" i="3"/>
  <c r="D18" i="3" s="1"/>
  <c r="F18" i="3" s="1"/>
  <c r="B18" i="3"/>
  <c r="E18" i="3" s="1"/>
  <c r="C17" i="3"/>
  <c r="D17" i="3" s="1"/>
  <c r="F17" i="3" s="1"/>
  <c r="B17" i="3"/>
  <c r="E17" i="3" s="1"/>
  <c r="C16" i="3"/>
  <c r="D16" i="3" s="1"/>
  <c r="F16" i="3" s="1"/>
  <c r="B16" i="3"/>
  <c r="E16" i="3" s="1"/>
  <c r="C15" i="3"/>
  <c r="D15" i="3" s="1"/>
  <c r="F15" i="3" s="1"/>
  <c r="B15" i="3"/>
  <c r="E15" i="3" s="1"/>
  <c r="C14" i="3"/>
  <c r="D14" i="3" s="1"/>
  <c r="F14" i="3" s="1"/>
  <c r="B14" i="3"/>
  <c r="E14" i="3" s="1"/>
  <c r="C13" i="3"/>
  <c r="D13" i="3" s="1"/>
  <c r="F13" i="3" s="1"/>
  <c r="B13" i="3"/>
  <c r="E13" i="3" s="1"/>
  <c r="C12" i="3"/>
  <c r="D12" i="3" s="1"/>
  <c r="F12" i="3" s="1"/>
  <c r="B12" i="3"/>
  <c r="E12" i="3" s="1"/>
  <c r="C11" i="3"/>
  <c r="B11" i="3"/>
  <c r="E11" i="3" s="1"/>
  <c r="C10" i="3"/>
  <c r="B10" i="3"/>
  <c r="E10" i="3" s="1"/>
  <c r="C9" i="3"/>
  <c r="B9" i="3"/>
  <c r="E9" i="3" s="1"/>
  <c r="C8" i="3"/>
  <c r="B8" i="3"/>
  <c r="E8" i="3" s="1"/>
  <c r="C7" i="3"/>
  <c r="B7" i="3"/>
  <c r="E7" i="3" s="1"/>
  <c r="C6" i="3"/>
  <c r="B6" i="3"/>
  <c r="E6" i="3" s="1"/>
  <c r="C94" i="2"/>
  <c r="D94" i="2" s="1"/>
  <c r="F94" i="2" s="1"/>
  <c r="B94" i="2"/>
  <c r="E94" i="2" s="1"/>
  <c r="C93" i="2"/>
  <c r="D93" i="2" s="1"/>
  <c r="F93" i="2" s="1"/>
  <c r="B93" i="2"/>
  <c r="E93" i="2" s="1"/>
  <c r="D92" i="2"/>
  <c r="F92" i="2" s="1"/>
  <c r="C92" i="2"/>
  <c r="B92" i="2"/>
  <c r="E92" i="2" s="1"/>
  <c r="C91" i="2"/>
  <c r="D91" i="2" s="1"/>
  <c r="F91" i="2" s="1"/>
  <c r="B91" i="2"/>
  <c r="E91" i="2" s="1"/>
  <c r="C90" i="2"/>
  <c r="D90" i="2" s="1"/>
  <c r="F90" i="2" s="1"/>
  <c r="B90" i="2"/>
  <c r="E90" i="2" s="1"/>
  <c r="C89" i="2"/>
  <c r="D89" i="2" s="1"/>
  <c r="F89" i="2" s="1"/>
  <c r="B89" i="2"/>
  <c r="E89" i="2" s="1"/>
  <c r="C88" i="2"/>
  <c r="D88" i="2" s="1"/>
  <c r="F88" i="2" s="1"/>
  <c r="B88" i="2"/>
  <c r="E88" i="2" s="1"/>
  <c r="C87" i="2"/>
  <c r="D87" i="2" s="1"/>
  <c r="F87" i="2" s="1"/>
  <c r="B87" i="2"/>
  <c r="E87" i="2" s="1"/>
  <c r="C86" i="2"/>
  <c r="D86" i="2" s="1"/>
  <c r="F86" i="2" s="1"/>
  <c r="B86" i="2"/>
  <c r="E86" i="2" s="1"/>
  <c r="C85" i="2"/>
  <c r="D85" i="2" s="1"/>
  <c r="F85" i="2" s="1"/>
  <c r="B85" i="2"/>
  <c r="E85" i="2" s="1"/>
  <c r="C84" i="2"/>
  <c r="D84" i="2" s="1"/>
  <c r="F84" i="2" s="1"/>
  <c r="B84" i="2"/>
  <c r="E84" i="2" s="1"/>
  <c r="C83" i="2"/>
  <c r="D83" i="2" s="1"/>
  <c r="F83" i="2" s="1"/>
  <c r="B83" i="2"/>
  <c r="E83" i="2" s="1"/>
  <c r="D82" i="2"/>
  <c r="F82" i="2" s="1"/>
  <c r="C82" i="2"/>
  <c r="B82" i="2"/>
  <c r="E82" i="2" s="1"/>
  <c r="C81" i="2"/>
  <c r="D81" i="2" s="1"/>
  <c r="F81" i="2" s="1"/>
  <c r="B81" i="2"/>
  <c r="E81" i="2" s="1"/>
  <c r="C80" i="2"/>
  <c r="D80" i="2" s="1"/>
  <c r="F80" i="2" s="1"/>
  <c r="B80" i="2"/>
  <c r="E80" i="2" s="1"/>
  <c r="C79" i="2"/>
  <c r="D79" i="2" s="1"/>
  <c r="F79" i="2" s="1"/>
  <c r="B79" i="2"/>
  <c r="E79" i="2" s="1"/>
  <c r="C78" i="2"/>
  <c r="D78" i="2" s="1"/>
  <c r="F78" i="2" s="1"/>
  <c r="B78" i="2"/>
  <c r="E78" i="2" s="1"/>
  <c r="C77" i="2"/>
  <c r="D77" i="2" s="1"/>
  <c r="F77" i="2" s="1"/>
  <c r="B77" i="2"/>
  <c r="E77" i="2" s="1"/>
  <c r="C76" i="2"/>
  <c r="D76" i="2" s="1"/>
  <c r="F76" i="2" s="1"/>
  <c r="B76" i="2"/>
  <c r="E76" i="2" s="1"/>
  <c r="C75" i="2"/>
  <c r="D75" i="2" s="1"/>
  <c r="F75" i="2" s="1"/>
  <c r="B75" i="2"/>
  <c r="E75" i="2" s="1"/>
  <c r="C71" i="2"/>
  <c r="D71" i="2" s="1"/>
  <c r="F71" i="2" s="1"/>
  <c r="B71" i="2"/>
  <c r="E71" i="2" s="1"/>
  <c r="C70" i="2"/>
  <c r="D70" i="2" s="1"/>
  <c r="F70" i="2" s="1"/>
  <c r="B70" i="2"/>
  <c r="E70" i="2" s="1"/>
  <c r="C69" i="2"/>
  <c r="D69" i="2" s="1"/>
  <c r="F69" i="2" s="1"/>
  <c r="B69" i="2"/>
  <c r="E69" i="2" s="1"/>
  <c r="C68" i="2"/>
  <c r="D68" i="2" s="1"/>
  <c r="F68" i="2" s="1"/>
  <c r="B68" i="2"/>
  <c r="E68" i="2" s="1"/>
  <c r="C67" i="2"/>
  <c r="D67" i="2" s="1"/>
  <c r="F67" i="2" s="1"/>
  <c r="B67" i="2"/>
  <c r="E67" i="2" s="1"/>
  <c r="C66" i="2"/>
  <c r="D66" i="2" s="1"/>
  <c r="F66" i="2" s="1"/>
  <c r="B66" i="2"/>
  <c r="E66" i="2" s="1"/>
  <c r="E65" i="2"/>
  <c r="C65" i="2"/>
  <c r="D65" i="2" s="1"/>
  <c r="F65" i="2" s="1"/>
  <c r="B65" i="2"/>
  <c r="C64" i="2"/>
  <c r="D64" i="2" s="1"/>
  <c r="F64" i="2" s="1"/>
  <c r="B64" i="2"/>
  <c r="E64" i="2" s="1"/>
  <c r="C63" i="2"/>
  <c r="D63" i="2" s="1"/>
  <c r="F63" i="2" s="1"/>
  <c r="B63" i="2"/>
  <c r="E63" i="2" s="1"/>
  <c r="C62" i="2"/>
  <c r="D62" i="2" s="1"/>
  <c r="F62" i="2" s="1"/>
  <c r="B62" i="2"/>
  <c r="E62" i="2" s="1"/>
  <c r="C61" i="2"/>
  <c r="D61" i="2" s="1"/>
  <c r="F61" i="2" s="1"/>
  <c r="B61" i="2"/>
  <c r="E61" i="2" s="1"/>
  <c r="C60" i="2"/>
  <c r="D60" i="2" s="1"/>
  <c r="F60" i="2" s="1"/>
  <c r="B60" i="2"/>
  <c r="E60" i="2" s="1"/>
  <c r="C59" i="2"/>
  <c r="D59" i="2" s="1"/>
  <c r="F59" i="2" s="1"/>
  <c r="B59" i="2"/>
  <c r="E59" i="2" s="1"/>
  <c r="C58" i="2"/>
  <c r="D58" i="2" s="1"/>
  <c r="F58" i="2" s="1"/>
  <c r="B58" i="2"/>
  <c r="E58" i="2" s="1"/>
  <c r="C57" i="2"/>
  <c r="D57" i="2" s="1"/>
  <c r="F57" i="2" s="1"/>
  <c r="B57" i="2"/>
  <c r="E57" i="2" s="1"/>
  <c r="C56" i="2"/>
  <c r="D56" i="2" s="1"/>
  <c r="F56" i="2" s="1"/>
  <c r="B56" i="2"/>
  <c r="E56" i="2" s="1"/>
  <c r="C55" i="2"/>
  <c r="D55" i="2" s="1"/>
  <c r="F55" i="2" s="1"/>
  <c r="B55" i="2"/>
  <c r="E55" i="2" s="1"/>
  <c r="C54" i="2"/>
  <c r="D54" i="2" s="1"/>
  <c r="F54" i="2" s="1"/>
  <c r="B54" i="2"/>
  <c r="E54" i="2" s="1"/>
  <c r="C53" i="2"/>
  <c r="D53" i="2" s="1"/>
  <c r="F53" i="2" s="1"/>
  <c r="B53" i="2"/>
  <c r="E53" i="2" s="1"/>
  <c r="E52" i="2"/>
  <c r="C52" i="2"/>
  <c r="D52" i="2" s="1"/>
  <c r="F52" i="2" s="1"/>
  <c r="B52" i="2"/>
  <c r="C48" i="2"/>
  <c r="D48" i="2" s="1"/>
  <c r="F48" i="2" s="1"/>
  <c r="B48" i="2"/>
  <c r="E48" i="2" s="1"/>
  <c r="C47" i="2"/>
  <c r="D47" i="2" s="1"/>
  <c r="F47" i="2" s="1"/>
  <c r="B47" i="2"/>
  <c r="E47" i="2" s="1"/>
  <c r="C46" i="2"/>
  <c r="D46" i="2" s="1"/>
  <c r="F46" i="2" s="1"/>
  <c r="B46" i="2"/>
  <c r="E46" i="2" s="1"/>
  <c r="C45" i="2"/>
  <c r="D45" i="2" s="1"/>
  <c r="F45" i="2" s="1"/>
  <c r="B45" i="2"/>
  <c r="E45" i="2" s="1"/>
  <c r="C44" i="2"/>
  <c r="D44" i="2" s="1"/>
  <c r="F44" i="2" s="1"/>
  <c r="B44" i="2"/>
  <c r="E44" i="2" s="1"/>
  <c r="C43" i="2"/>
  <c r="D43" i="2" s="1"/>
  <c r="F43" i="2" s="1"/>
  <c r="B43" i="2"/>
  <c r="E43" i="2" s="1"/>
  <c r="C42" i="2"/>
  <c r="D42" i="2" s="1"/>
  <c r="F42" i="2" s="1"/>
  <c r="B42" i="2"/>
  <c r="E42" i="2" s="1"/>
  <c r="C41" i="2"/>
  <c r="D41" i="2" s="1"/>
  <c r="F41" i="2" s="1"/>
  <c r="B41" i="2"/>
  <c r="E41" i="2" s="1"/>
  <c r="C40" i="2"/>
  <c r="D40" i="2" s="1"/>
  <c r="F40" i="2" s="1"/>
  <c r="B40" i="2"/>
  <c r="E40" i="2" s="1"/>
  <c r="C39" i="2"/>
  <c r="D39" i="2" s="1"/>
  <c r="F39" i="2" s="1"/>
  <c r="B39" i="2"/>
  <c r="E39" i="2" s="1"/>
  <c r="C38" i="2"/>
  <c r="D38" i="2" s="1"/>
  <c r="F38" i="2" s="1"/>
  <c r="B38" i="2"/>
  <c r="E38" i="2" s="1"/>
  <c r="C37" i="2"/>
  <c r="D37" i="2" s="1"/>
  <c r="F37" i="2" s="1"/>
  <c r="B37" i="2"/>
  <c r="E37" i="2" s="1"/>
  <c r="C36" i="2"/>
  <c r="D36" i="2" s="1"/>
  <c r="F36" i="2" s="1"/>
  <c r="B36" i="2"/>
  <c r="E36" i="2" s="1"/>
  <c r="C35" i="2"/>
  <c r="D35" i="2" s="1"/>
  <c r="F35" i="2" s="1"/>
  <c r="B35" i="2"/>
  <c r="E35" i="2" s="1"/>
  <c r="C34" i="2"/>
  <c r="D34" i="2" s="1"/>
  <c r="F34" i="2" s="1"/>
  <c r="B34" i="2"/>
  <c r="E34" i="2" s="1"/>
  <c r="C33" i="2"/>
  <c r="D33" i="2" s="1"/>
  <c r="F33" i="2" s="1"/>
  <c r="B33" i="2"/>
  <c r="E33" i="2" s="1"/>
  <c r="C32" i="2"/>
  <c r="D32" i="2" s="1"/>
  <c r="F32" i="2" s="1"/>
  <c r="B32" i="2"/>
  <c r="E32" i="2" s="1"/>
  <c r="C31" i="2"/>
  <c r="D31" i="2" s="1"/>
  <c r="F31" i="2" s="1"/>
  <c r="B31" i="2"/>
  <c r="E31" i="2" s="1"/>
  <c r="C30" i="2"/>
  <c r="D30" i="2" s="1"/>
  <c r="F30" i="2" s="1"/>
  <c r="B30" i="2"/>
  <c r="E30" i="2" s="1"/>
  <c r="C29" i="2"/>
  <c r="D29" i="2" s="1"/>
  <c r="F29" i="2" s="1"/>
  <c r="B29" i="2"/>
  <c r="E29" i="2" s="1"/>
  <c r="C25" i="2"/>
  <c r="D25" i="2" s="1"/>
  <c r="F25" i="2" s="1"/>
  <c r="B25" i="2"/>
  <c r="E25" i="2" s="1"/>
  <c r="C24" i="2"/>
  <c r="D24" i="2" s="1"/>
  <c r="F24" i="2" s="1"/>
  <c r="B24" i="2"/>
  <c r="E24" i="2" s="1"/>
  <c r="C23" i="2"/>
  <c r="D23" i="2" s="1"/>
  <c r="F23" i="2" s="1"/>
  <c r="B23" i="2"/>
  <c r="E23" i="2" s="1"/>
  <c r="C22" i="2"/>
  <c r="D22" i="2" s="1"/>
  <c r="F22" i="2" s="1"/>
  <c r="B22" i="2"/>
  <c r="E22" i="2" s="1"/>
  <c r="C21" i="2"/>
  <c r="D21" i="2" s="1"/>
  <c r="F21" i="2" s="1"/>
  <c r="B21" i="2"/>
  <c r="E21" i="2" s="1"/>
  <c r="C20" i="2"/>
  <c r="D20" i="2" s="1"/>
  <c r="F20" i="2" s="1"/>
  <c r="B20" i="2"/>
  <c r="E20" i="2" s="1"/>
  <c r="C19" i="2"/>
  <c r="D19" i="2" s="1"/>
  <c r="F19" i="2" s="1"/>
  <c r="B19" i="2"/>
  <c r="E19" i="2" s="1"/>
  <c r="C18" i="2"/>
  <c r="D18" i="2" s="1"/>
  <c r="F18" i="2" s="1"/>
  <c r="B18" i="2"/>
  <c r="E18" i="2" s="1"/>
  <c r="C17" i="2"/>
  <c r="D17" i="2" s="1"/>
  <c r="F17" i="2" s="1"/>
  <c r="B17" i="2"/>
  <c r="E17" i="2" s="1"/>
  <c r="C16" i="2"/>
  <c r="D16" i="2" s="1"/>
  <c r="F16" i="2" s="1"/>
  <c r="B16" i="2"/>
  <c r="E16" i="2" s="1"/>
  <c r="C15" i="2"/>
  <c r="D15" i="2" s="1"/>
  <c r="F15" i="2" s="1"/>
  <c r="B15" i="2"/>
  <c r="E15" i="2" s="1"/>
  <c r="C14" i="2"/>
  <c r="D14" i="2" s="1"/>
  <c r="F14" i="2" s="1"/>
  <c r="B14" i="2"/>
  <c r="E14" i="2" s="1"/>
  <c r="C13" i="2"/>
  <c r="D13" i="2" s="1"/>
  <c r="F13" i="2" s="1"/>
  <c r="B13" i="2"/>
  <c r="E13" i="2" s="1"/>
  <c r="C12" i="2"/>
  <c r="D12" i="2" s="1"/>
  <c r="F12" i="2" s="1"/>
  <c r="B12" i="2"/>
  <c r="E12" i="2" s="1"/>
  <c r="C11" i="2"/>
  <c r="D11" i="2" s="1"/>
  <c r="F11" i="2" s="1"/>
  <c r="B11" i="2"/>
  <c r="E11" i="2" s="1"/>
  <c r="C10" i="2"/>
  <c r="D10" i="2" s="1"/>
  <c r="F10" i="2" s="1"/>
  <c r="B10" i="2"/>
  <c r="E10" i="2" s="1"/>
  <c r="C9" i="2"/>
  <c r="D9" i="2" s="1"/>
  <c r="F9" i="2" s="1"/>
  <c r="B9" i="2"/>
  <c r="E9" i="2" s="1"/>
  <c r="C8" i="2"/>
  <c r="D8" i="2" s="1"/>
  <c r="F8" i="2" s="1"/>
  <c r="B8" i="2"/>
  <c r="E8" i="2" s="1"/>
  <c r="C7" i="2"/>
  <c r="D7" i="2" s="1"/>
  <c r="F7" i="2" s="1"/>
  <c r="B7" i="2"/>
  <c r="E7" i="2" s="1"/>
  <c r="E6" i="2"/>
  <c r="D6" i="2"/>
  <c r="F6" i="2" s="1"/>
  <c r="C6" i="2"/>
  <c r="B6" i="2"/>
  <c r="C94" i="1"/>
  <c r="D94" i="1" s="1"/>
  <c r="F94" i="1" s="1"/>
  <c r="B94" i="1"/>
  <c r="E94" i="1" s="1"/>
  <c r="C93" i="1"/>
  <c r="D93" i="1" s="1"/>
  <c r="F93" i="1" s="1"/>
  <c r="B93" i="1"/>
  <c r="E93" i="1" s="1"/>
  <c r="C92" i="1"/>
  <c r="D92" i="1" s="1"/>
  <c r="F92" i="1" s="1"/>
  <c r="B92" i="1"/>
  <c r="E92" i="1" s="1"/>
  <c r="C91" i="1"/>
  <c r="D91" i="1" s="1"/>
  <c r="F91" i="1" s="1"/>
  <c r="B91" i="1"/>
  <c r="E91" i="1" s="1"/>
  <c r="C90" i="1"/>
  <c r="D90" i="1" s="1"/>
  <c r="F90" i="1" s="1"/>
  <c r="B90" i="1"/>
  <c r="E90" i="1" s="1"/>
  <c r="C89" i="1"/>
  <c r="D89" i="1" s="1"/>
  <c r="F89" i="1" s="1"/>
  <c r="B89" i="1"/>
  <c r="E89" i="1" s="1"/>
  <c r="C88" i="1"/>
  <c r="D88" i="1" s="1"/>
  <c r="F88" i="1" s="1"/>
  <c r="B88" i="1"/>
  <c r="E88" i="1" s="1"/>
  <c r="C87" i="1"/>
  <c r="D87" i="1" s="1"/>
  <c r="F87" i="1" s="1"/>
  <c r="B87" i="1"/>
  <c r="E87" i="1" s="1"/>
  <c r="C86" i="1"/>
  <c r="D86" i="1" s="1"/>
  <c r="F86" i="1" s="1"/>
  <c r="B86" i="1"/>
  <c r="E86" i="1" s="1"/>
  <c r="C85" i="1"/>
  <c r="D85" i="1" s="1"/>
  <c r="F85" i="1" s="1"/>
  <c r="B85" i="1"/>
  <c r="E85" i="1" s="1"/>
  <c r="C84" i="1"/>
  <c r="D84" i="1" s="1"/>
  <c r="F84" i="1" s="1"/>
  <c r="B84" i="1"/>
  <c r="E84" i="1" s="1"/>
  <c r="E83" i="1"/>
  <c r="C83" i="1"/>
  <c r="D83" i="1" s="1"/>
  <c r="F83" i="1" s="1"/>
  <c r="B83" i="1"/>
  <c r="C82" i="1"/>
  <c r="D82" i="1" s="1"/>
  <c r="F82" i="1" s="1"/>
  <c r="B82" i="1"/>
  <c r="E82" i="1" s="1"/>
  <c r="C81" i="1"/>
  <c r="D81" i="1" s="1"/>
  <c r="F81" i="1" s="1"/>
  <c r="B81" i="1"/>
  <c r="E81" i="1" s="1"/>
  <c r="C80" i="1"/>
  <c r="B80" i="1"/>
  <c r="C79" i="1"/>
  <c r="D79" i="1" s="1"/>
  <c r="F79" i="1" s="1"/>
  <c r="B79" i="1"/>
  <c r="E79" i="1" s="1"/>
  <c r="C78" i="1"/>
  <c r="D78" i="1" s="1"/>
  <c r="F78" i="1" s="1"/>
  <c r="B78" i="1"/>
  <c r="E78" i="1" s="1"/>
  <c r="C77" i="1"/>
  <c r="D77" i="1" s="1"/>
  <c r="F77" i="1" s="1"/>
  <c r="B77" i="1"/>
  <c r="E77" i="1" s="1"/>
  <c r="C76" i="1"/>
  <c r="D76" i="1" s="1"/>
  <c r="F76" i="1" s="1"/>
  <c r="B76" i="1"/>
  <c r="E76" i="1" s="1"/>
  <c r="C75" i="1"/>
  <c r="D75" i="1" s="1"/>
  <c r="F75" i="1" s="1"/>
  <c r="B75" i="1"/>
  <c r="E75" i="1" s="1"/>
  <c r="C71" i="1"/>
  <c r="B71" i="1"/>
  <c r="C70" i="1"/>
  <c r="D70" i="1" s="1"/>
  <c r="F70" i="1" s="1"/>
  <c r="B70" i="1"/>
  <c r="E70" i="1" s="1"/>
  <c r="C69" i="1"/>
  <c r="D69" i="1" s="1"/>
  <c r="F69" i="1" s="1"/>
  <c r="B69" i="1"/>
  <c r="E69" i="1" s="1"/>
  <c r="D68" i="1"/>
  <c r="F68" i="1" s="1"/>
  <c r="C68" i="1"/>
  <c r="B68" i="1"/>
  <c r="E68" i="1" s="1"/>
  <c r="C67" i="1"/>
  <c r="D67" i="1" s="1"/>
  <c r="F67" i="1" s="1"/>
  <c r="B67" i="1"/>
  <c r="E67" i="1" s="1"/>
  <c r="C66" i="1"/>
  <c r="D66" i="1" s="1"/>
  <c r="F66" i="1" s="1"/>
  <c r="B66" i="1"/>
  <c r="E66" i="1" s="1"/>
  <c r="C65" i="1"/>
  <c r="D65" i="1" s="1"/>
  <c r="F65" i="1" s="1"/>
  <c r="B65" i="1"/>
  <c r="E65" i="1" s="1"/>
  <c r="C64" i="1"/>
  <c r="D64" i="1" s="1"/>
  <c r="F64" i="1" s="1"/>
  <c r="B64" i="1"/>
  <c r="E64" i="1" s="1"/>
  <c r="C63" i="1"/>
  <c r="D63" i="1" s="1"/>
  <c r="F63" i="1" s="1"/>
  <c r="B63" i="1"/>
  <c r="E63" i="1" s="1"/>
  <c r="C62" i="1"/>
  <c r="D62" i="1" s="1"/>
  <c r="F62" i="1" s="1"/>
  <c r="B62" i="1"/>
  <c r="E62" i="1" s="1"/>
  <c r="C61" i="1"/>
  <c r="D61" i="1" s="1"/>
  <c r="F61" i="1" s="1"/>
  <c r="B61" i="1"/>
  <c r="E61" i="1" s="1"/>
  <c r="C60" i="1"/>
  <c r="D60" i="1" s="1"/>
  <c r="F60" i="1" s="1"/>
  <c r="B60" i="1"/>
  <c r="E60" i="1" s="1"/>
  <c r="C59" i="1"/>
  <c r="D59" i="1" s="1"/>
  <c r="F59" i="1" s="1"/>
  <c r="B59" i="1"/>
  <c r="E59" i="1" s="1"/>
  <c r="C58" i="1"/>
  <c r="D58" i="1" s="1"/>
  <c r="F58" i="1" s="1"/>
  <c r="B58" i="1"/>
  <c r="E58" i="1" s="1"/>
  <c r="C57" i="1"/>
  <c r="D57" i="1" s="1"/>
  <c r="F57" i="1" s="1"/>
  <c r="B57" i="1"/>
  <c r="E57" i="1" s="1"/>
  <c r="C56" i="1"/>
  <c r="D56" i="1" s="1"/>
  <c r="F56" i="1" s="1"/>
  <c r="B56" i="1"/>
  <c r="E56" i="1" s="1"/>
  <c r="C55" i="1"/>
  <c r="D55" i="1" s="1"/>
  <c r="F55" i="1" s="1"/>
  <c r="B55" i="1"/>
  <c r="E55" i="1" s="1"/>
  <c r="C54" i="1"/>
  <c r="D54" i="1" s="1"/>
  <c r="F54" i="1" s="1"/>
  <c r="B54" i="1"/>
  <c r="E54" i="1" s="1"/>
  <c r="C53" i="1"/>
  <c r="D53" i="1" s="1"/>
  <c r="F53" i="1" s="1"/>
  <c r="B53" i="1"/>
  <c r="E53" i="1" s="1"/>
  <c r="C52" i="1"/>
  <c r="D52" i="1" s="1"/>
  <c r="F52" i="1" s="1"/>
  <c r="B52" i="1"/>
  <c r="E52" i="1" s="1"/>
  <c r="C48" i="1"/>
  <c r="D48" i="1" s="1"/>
  <c r="F48" i="1" s="1"/>
  <c r="B48" i="1"/>
  <c r="E48" i="1" s="1"/>
  <c r="C47" i="1"/>
  <c r="D47" i="1" s="1"/>
  <c r="F47" i="1" s="1"/>
  <c r="B47" i="1"/>
  <c r="E47" i="1" s="1"/>
  <c r="C46" i="1"/>
  <c r="D46" i="1" s="1"/>
  <c r="F46" i="1" s="1"/>
  <c r="B46" i="1"/>
  <c r="E46" i="1" s="1"/>
  <c r="C45" i="1"/>
  <c r="D45" i="1" s="1"/>
  <c r="F45" i="1" s="1"/>
  <c r="B45" i="1"/>
  <c r="E45" i="1" s="1"/>
  <c r="C44" i="1"/>
  <c r="D44" i="1" s="1"/>
  <c r="F44" i="1" s="1"/>
  <c r="B44" i="1"/>
  <c r="E44" i="1" s="1"/>
  <c r="C43" i="1"/>
  <c r="D43" i="1" s="1"/>
  <c r="F43" i="1" s="1"/>
  <c r="B43" i="1"/>
  <c r="E43" i="1" s="1"/>
  <c r="C42" i="1"/>
  <c r="D42" i="1" s="1"/>
  <c r="F42" i="1" s="1"/>
  <c r="B42" i="1"/>
  <c r="E42" i="1" s="1"/>
  <c r="C41" i="1"/>
  <c r="D41" i="1" s="1"/>
  <c r="F41" i="1" s="1"/>
  <c r="B41" i="1"/>
  <c r="E41" i="1" s="1"/>
  <c r="C40" i="1"/>
  <c r="D40" i="1" s="1"/>
  <c r="F40" i="1" s="1"/>
  <c r="B40" i="1"/>
  <c r="E40" i="1" s="1"/>
  <c r="C39" i="1"/>
  <c r="D39" i="1" s="1"/>
  <c r="F39" i="1" s="1"/>
  <c r="B39" i="1"/>
  <c r="E39" i="1" s="1"/>
  <c r="C38" i="1"/>
  <c r="D38" i="1" s="1"/>
  <c r="F38" i="1" s="1"/>
  <c r="B38" i="1"/>
  <c r="E38" i="1" s="1"/>
  <c r="C37" i="1"/>
  <c r="D37" i="1" s="1"/>
  <c r="F37" i="1" s="1"/>
  <c r="B37" i="1"/>
  <c r="E37" i="1" s="1"/>
  <c r="C36" i="1"/>
  <c r="D36" i="1" s="1"/>
  <c r="F36" i="1" s="1"/>
  <c r="B36" i="1"/>
  <c r="E36" i="1" s="1"/>
  <c r="C35" i="1"/>
  <c r="D35" i="1" s="1"/>
  <c r="F35" i="1" s="1"/>
  <c r="B35" i="1"/>
  <c r="E35" i="1" s="1"/>
  <c r="C34" i="1"/>
  <c r="D34" i="1" s="1"/>
  <c r="F34" i="1" s="1"/>
  <c r="B34" i="1"/>
  <c r="E34" i="1" s="1"/>
  <c r="C33" i="1"/>
  <c r="D33" i="1" s="1"/>
  <c r="F33" i="1" s="1"/>
  <c r="B33" i="1"/>
  <c r="E33" i="1" s="1"/>
  <c r="C32" i="1"/>
  <c r="B32" i="1"/>
  <c r="C31" i="1"/>
  <c r="D31" i="1" s="1"/>
  <c r="F31" i="1" s="1"/>
  <c r="B31" i="1"/>
  <c r="E31" i="1" s="1"/>
  <c r="D30" i="1"/>
  <c r="F30" i="1" s="1"/>
  <c r="C30" i="1"/>
  <c r="B30" i="1"/>
  <c r="E30" i="1" s="1"/>
  <c r="C29" i="1"/>
  <c r="D29" i="1" s="1"/>
  <c r="F29" i="1" s="1"/>
  <c r="B29" i="1"/>
  <c r="E29" i="1" s="1"/>
  <c r="C25" i="1"/>
  <c r="D25" i="1" s="1"/>
  <c r="F25" i="1" s="1"/>
  <c r="B25" i="1"/>
  <c r="E25" i="1" s="1"/>
  <c r="C24" i="1"/>
  <c r="D24" i="1" s="1"/>
  <c r="F24" i="1" s="1"/>
  <c r="B24" i="1"/>
  <c r="E24" i="1" s="1"/>
  <c r="C23" i="1"/>
  <c r="D23" i="1" s="1"/>
  <c r="F23" i="1" s="1"/>
  <c r="B23" i="1"/>
  <c r="E23" i="1" s="1"/>
  <c r="C22" i="1"/>
  <c r="D22" i="1" s="1"/>
  <c r="F22" i="1" s="1"/>
  <c r="B22" i="1"/>
  <c r="E22" i="1" s="1"/>
  <c r="C21" i="1"/>
  <c r="D21" i="1" s="1"/>
  <c r="F21" i="1" s="1"/>
  <c r="B21" i="1"/>
  <c r="E21" i="1" s="1"/>
  <c r="C20" i="1"/>
  <c r="D20" i="1" s="1"/>
  <c r="F20" i="1" s="1"/>
  <c r="B20" i="1"/>
  <c r="E20" i="1" s="1"/>
  <c r="E19" i="1"/>
  <c r="D19" i="1"/>
  <c r="F19" i="1" s="1"/>
  <c r="C19" i="1"/>
  <c r="B19" i="1"/>
  <c r="C18" i="1"/>
  <c r="D18" i="1" s="1"/>
  <c r="F18" i="1" s="1"/>
  <c r="B18" i="1"/>
  <c r="E18" i="1" s="1"/>
  <c r="C17" i="1"/>
  <c r="D17" i="1" s="1"/>
  <c r="F17" i="1" s="1"/>
  <c r="B17" i="1"/>
  <c r="E17" i="1" s="1"/>
  <c r="C16" i="1"/>
  <c r="D16" i="1" s="1"/>
  <c r="F16" i="1" s="1"/>
  <c r="B16" i="1"/>
  <c r="E16" i="1" s="1"/>
  <c r="C15" i="1"/>
  <c r="D15" i="1" s="1"/>
  <c r="F15" i="1" s="1"/>
  <c r="B15" i="1"/>
  <c r="E15" i="1" s="1"/>
  <c r="C14" i="1"/>
  <c r="D14" i="1" s="1"/>
  <c r="F14" i="1" s="1"/>
  <c r="B14" i="1"/>
  <c r="E14" i="1" s="1"/>
  <c r="C13" i="1"/>
  <c r="D13" i="1" s="1"/>
  <c r="F13" i="1" s="1"/>
  <c r="B13" i="1"/>
  <c r="E13" i="1" s="1"/>
  <c r="C12" i="1"/>
  <c r="D12" i="1" s="1"/>
  <c r="F12" i="1" s="1"/>
  <c r="B12" i="1"/>
  <c r="E12" i="1" s="1"/>
  <c r="C11" i="1"/>
  <c r="D11" i="1" s="1"/>
  <c r="F11" i="1" s="1"/>
  <c r="B11" i="1"/>
  <c r="E11" i="1" s="1"/>
  <c r="C10" i="1"/>
  <c r="D10" i="1" s="1"/>
  <c r="F10" i="1" s="1"/>
  <c r="B10" i="1"/>
  <c r="E10" i="1" s="1"/>
  <c r="C9" i="1"/>
  <c r="D9" i="1" s="1"/>
  <c r="F9" i="1" s="1"/>
  <c r="B9" i="1"/>
  <c r="E9" i="1" s="1"/>
  <c r="C8" i="1"/>
  <c r="D8" i="1" s="1"/>
  <c r="F8" i="1" s="1"/>
  <c r="B8" i="1"/>
  <c r="E8" i="1" s="1"/>
  <c r="C7" i="1"/>
  <c r="D7" i="1" s="1"/>
  <c r="F7" i="1" s="1"/>
  <c r="B7" i="1"/>
  <c r="E7" i="1" s="1"/>
  <c r="C6" i="1"/>
  <c r="D6" i="1" s="1"/>
  <c r="F6" i="1" s="1"/>
  <c r="B6" i="1"/>
  <c r="E6" i="1" s="1"/>
  <c r="D91" i="3" l="1"/>
  <c r="F91" i="3" s="1"/>
  <c r="D90" i="3"/>
  <c r="F90" i="3" s="1"/>
  <c r="D89" i="3"/>
  <c r="F89" i="3" s="1"/>
  <c r="D94" i="3"/>
  <c r="F94" i="3" s="1"/>
  <c r="D93" i="3"/>
  <c r="F93" i="3" s="1"/>
  <c r="D92" i="3"/>
  <c r="F92" i="3" s="1"/>
  <c r="D56" i="3"/>
  <c r="F56" i="3" s="1"/>
  <c r="D79" i="3"/>
  <c r="F79" i="3" s="1"/>
  <c r="D11" i="3"/>
  <c r="F11" i="3" s="1"/>
  <c r="D10" i="3"/>
  <c r="F10" i="3" s="1"/>
  <c r="D9" i="3"/>
  <c r="F9" i="3" s="1"/>
  <c r="D8" i="3"/>
  <c r="F8" i="3" s="1"/>
  <c r="D7" i="3"/>
  <c r="F7" i="3" s="1"/>
  <c r="D6" i="3"/>
  <c r="F6" i="3" s="1"/>
  <c r="D68" i="3"/>
  <c r="F68" i="3" s="1"/>
  <c r="D64" i="3"/>
  <c r="F64" i="3" s="1"/>
  <c r="D36" i="3"/>
  <c r="F36" i="3" s="1"/>
  <c r="D87" i="3"/>
  <c r="F87" i="3" s="1"/>
  <c r="D88" i="3"/>
  <c r="F88" i="3" s="1"/>
  <c r="D53" i="3"/>
  <c r="F53" i="3" s="1"/>
  <c r="D46" i="3"/>
  <c r="F46" i="3" s="1"/>
  <c r="D86" i="3"/>
  <c r="F86" i="3" s="1"/>
  <c r="D84" i="3"/>
  <c r="F84" i="3" s="1"/>
  <c r="D67" i="3"/>
  <c r="F67" i="3" s="1"/>
  <c r="D31" i="3"/>
  <c r="F31" i="3" s="1"/>
  <c r="E58" i="3"/>
  <c r="D58" i="3"/>
  <c r="F58" i="3" s="1"/>
  <c r="E80" i="1"/>
  <c r="D80" i="1"/>
  <c r="F80" i="1" s="1"/>
  <c r="D71" i="1"/>
  <c r="F71" i="1" s="1"/>
  <c r="E71" i="1"/>
  <c r="D32" i="1"/>
  <c r="F32" i="1" s="1"/>
  <c r="E32" i="1"/>
</calcChain>
</file>

<file path=xl/sharedStrings.xml><?xml version="1.0" encoding="utf-8"?>
<sst xmlns="http://schemas.openxmlformats.org/spreadsheetml/2006/main" count="162" uniqueCount="43">
  <si>
    <t>Material</t>
  </si>
  <si>
    <t>Yield Strength (MPa)</t>
  </si>
  <si>
    <t>Density (kg/m³)</t>
  </si>
  <si>
    <t>Structural Steel</t>
  </si>
  <si>
    <t>Aluminum 6061-T6</t>
  </si>
  <si>
    <t>Copper</t>
  </si>
  <si>
    <t>ABS Plastic</t>
  </si>
  <si>
    <t>Young's Modulus (MPa)</t>
  </si>
  <si>
    <t>Length L (mm)</t>
  </si>
  <si>
    <t>Width b (mm)</t>
  </si>
  <si>
    <t>Height h (mm)</t>
  </si>
  <si>
    <t>FOS</t>
  </si>
  <si>
    <t>I (mm⁴)</t>
  </si>
  <si>
    <t>M_max (N·mm)</t>
  </si>
  <si>
    <t>σ_max (MPa)</t>
  </si>
  <si>
    <t>δ_max (mm)</t>
  </si>
  <si>
    <t>── Beam Dimensions ──</t>
  </si>
  <si>
    <t>M_max = F·L  |  σ_max = Mc/I  |  δ_max = FL³ / (3EI)  |  FOS = σ_yield / σ_max</t>
  </si>
  <si>
    <t xml:space="preserve">  Structural Steel</t>
  </si>
  <si>
    <t>F (N)</t>
  </si>
  <si>
    <t xml:space="preserve">  Aluminum 6061-T6</t>
  </si>
  <si>
    <t xml:space="preserve">  Copper</t>
  </si>
  <si>
    <t xml:space="preserve">  ABS Plastic</t>
  </si>
  <si>
    <t>M_max = wL²/2  |  σ_max = Mc/I  |  δ_max = wL⁴ / (8EI)  |  FOS = σ_yield / σ_max</t>
  </si>
  <si>
    <t>w (N/mm)</t>
  </si>
  <si>
    <t>M_max = FL/4  |  σ_max = Mc/I  |  δ_max = FL³ / (48EI)  |  FOS = σ_yield / σ_max</t>
  </si>
  <si>
    <t>M_max = wL²/8  |  σ_max = Mc/I  |  δ_max = 5wL⁴ / (384EI)  |  FOS = σ_yield / σ_max</t>
  </si>
  <si>
    <r>
      <t xml:space="preserve">Simply Supported Beam </t>
    </r>
    <r>
      <rPr>
        <sz val="13"/>
        <color rgb="FF1F3864"/>
        <rFont val="Arial"/>
        <family val="2"/>
      </rPr>
      <t>+</t>
    </r>
    <r>
      <rPr>
        <b/>
        <sz val="13"/>
        <color rgb="FF1F3864"/>
        <rFont val="Arial"/>
        <family val="2"/>
      </rPr>
      <t xml:space="preserve"> Uniformly Distributed Load</t>
    </r>
  </si>
  <si>
    <r>
      <t xml:space="preserve">Simply Supported Beam </t>
    </r>
    <r>
      <rPr>
        <sz val="13"/>
        <color rgb="FF1F3864"/>
        <rFont val="Arial"/>
        <family val="2"/>
      </rPr>
      <t>+</t>
    </r>
    <r>
      <rPr>
        <b/>
        <sz val="13"/>
        <color rgb="FF1F3864"/>
        <rFont val="Arial"/>
        <family val="2"/>
      </rPr>
      <t xml:space="preserve"> Point Load at Centre</t>
    </r>
  </si>
  <si>
    <r>
      <t xml:space="preserve">Cantilever Beam </t>
    </r>
    <r>
      <rPr>
        <sz val="13"/>
        <color rgb="FF1F3864"/>
        <rFont val="Arial"/>
        <family val="2"/>
      </rPr>
      <t>+</t>
    </r>
    <r>
      <rPr>
        <b/>
        <sz val="13"/>
        <color rgb="FF1F3864"/>
        <rFont val="Arial"/>
        <family val="2"/>
      </rPr>
      <t xml:space="preserve"> Uniformly Distributed Load</t>
    </r>
  </si>
  <si>
    <t>Cantilever Beam + Point Load at Free End</t>
  </si>
  <si>
    <t>Load v/s Deflection Graph</t>
  </si>
  <si>
    <t xml:space="preserve">  Cantilever + Point Load</t>
  </si>
  <si>
    <t>Load (N)</t>
  </si>
  <si>
    <t>Steel</t>
  </si>
  <si>
    <t>Aluminum</t>
  </si>
  <si>
    <t>ABS</t>
  </si>
  <si>
    <t>Load v/s Deflection</t>
  </si>
  <si>
    <t>Cantilever + Point Load</t>
  </si>
  <si>
    <t>Cantilever + UDL</t>
  </si>
  <si>
    <t>Simply Supported + Point Load</t>
  </si>
  <si>
    <t>Simply Supported + UDL</t>
  </si>
  <si>
    <t xml:space="preserve">  Cantilever + UDL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</si>
</sst>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00"/>
    <numFmt numFmtId="169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i/>
      <sz val="11"/>
      <color rgb="FF595959"/>
      <name val="Arial"/>
      <family val="2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17375E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7F3F0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sz val="13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left" vertical="center" indent="1"/>
    </xf>
    <xf numFmtId="1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4" borderId="0" xfId="0" applyFont="1" applyFill="1" applyAlignment="1">
      <alignment horizontal="left" vertical="center" indent="1"/>
    </xf>
    <xf numFmtId="0" fontId="12" fillId="5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left" vertical="center" indent="1"/>
    </xf>
    <xf numFmtId="169" fontId="9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CDF4289-13A7-4C11-8C37-0FAE8ED01E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for graphs'!$B$3</c:f>
              <c:strCache>
                <c:ptCount val="1"/>
                <c:pt idx="0">
                  <c:v>Steel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for graphs'!$A$3:$A$23</c:f>
              <c:strCache>
                <c:ptCount val="21"/>
                <c:pt idx="0">
                  <c:v>Load (N)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strCache>
            </c:strRef>
          </c:cat>
          <c:val>
            <c:numRef>
              <c:f>'Data for graphs'!$B$4:$B$23</c:f>
              <c:numCache>
                <c:formatCode>General</c:formatCode>
                <c:ptCount val="20"/>
                <c:pt idx="0">
                  <c:v>0.83333333333333337</c:v>
                </c:pt>
                <c:pt idx="1">
                  <c:v>1.6666666666666667</c:v>
                </c:pt>
                <c:pt idx="2">
                  <c:v>2.5</c:v>
                </c:pt>
                <c:pt idx="3">
                  <c:v>3.3333333333333335</c:v>
                </c:pt>
                <c:pt idx="4">
                  <c:v>4.166666666666667</c:v>
                </c:pt>
                <c:pt idx="5">
                  <c:v>5</c:v>
                </c:pt>
                <c:pt idx="6">
                  <c:v>5.833333333333333</c:v>
                </c:pt>
                <c:pt idx="7">
                  <c:v>6.666666666666667</c:v>
                </c:pt>
                <c:pt idx="8">
                  <c:v>7.5</c:v>
                </c:pt>
                <c:pt idx="9">
                  <c:v>8.3333333333333339</c:v>
                </c:pt>
                <c:pt idx="10">
                  <c:v>9.1666666666666661</c:v>
                </c:pt>
                <c:pt idx="11">
                  <c:v>10</c:v>
                </c:pt>
                <c:pt idx="12">
                  <c:v>10.833333333333334</c:v>
                </c:pt>
                <c:pt idx="13">
                  <c:v>11.666666666666666</c:v>
                </c:pt>
                <c:pt idx="14">
                  <c:v>12.5</c:v>
                </c:pt>
                <c:pt idx="15">
                  <c:v>13.333333333333334</c:v>
                </c:pt>
                <c:pt idx="16">
                  <c:v>14.166666666666666</c:v>
                </c:pt>
                <c:pt idx="17">
                  <c:v>15</c:v>
                </c:pt>
                <c:pt idx="18">
                  <c:v>15.833333333333334</c:v>
                </c:pt>
                <c:pt idx="19">
                  <c:v>16.666666666666668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0-41A7-9A12-E2AD98993CB5}"/>
            </c:ext>
          </c:extLst>
        </c:ser>
        <c:ser>
          <c:idx val="1"/>
          <c:order val="1"/>
          <c:tx>
            <c:strRef>
              <c:f>'Data for graphs'!$C$3</c:f>
              <c:strCache>
                <c:ptCount val="1"/>
                <c:pt idx="0">
                  <c:v>Aluminum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for graphs'!$A$3:$A$23</c:f>
              <c:strCache>
                <c:ptCount val="21"/>
                <c:pt idx="0">
                  <c:v>Load (N)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strCache>
            </c:strRef>
          </c:cat>
          <c:val>
            <c:numRef>
              <c:f>'Data for graphs'!$C$4:$C$23</c:f>
              <c:numCache>
                <c:formatCode>General</c:formatCode>
                <c:ptCount val="20"/>
                <c:pt idx="0">
                  <c:v>2.4154589371980677</c:v>
                </c:pt>
                <c:pt idx="1">
                  <c:v>4.8309178743961354</c:v>
                </c:pt>
                <c:pt idx="2">
                  <c:v>7.2463768115942031</c:v>
                </c:pt>
                <c:pt idx="3">
                  <c:v>9.6618357487922708</c:v>
                </c:pt>
                <c:pt idx="4">
                  <c:v>12.077294685990339</c:v>
                </c:pt>
                <c:pt idx="5">
                  <c:v>14.492753623188406</c:v>
                </c:pt>
                <c:pt idx="6">
                  <c:v>16.908212560386474</c:v>
                </c:pt>
                <c:pt idx="7">
                  <c:v>19.323671497584542</c:v>
                </c:pt>
                <c:pt idx="8">
                  <c:v>21.739130434782609</c:v>
                </c:pt>
                <c:pt idx="9">
                  <c:v>24.154589371980677</c:v>
                </c:pt>
                <c:pt idx="10">
                  <c:v>26.570048309178745</c:v>
                </c:pt>
                <c:pt idx="11">
                  <c:v>28.985507246376812</c:v>
                </c:pt>
                <c:pt idx="12">
                  <c:v>31.40096618357488</c:v>
                </c:pt>
                <c:pt idx="13">
                  <c:v>33.816425120772948</c:v>
                </c:pt>
                <c:pt idx="14">
                  <c:v>36.231884057971016</c:v>
                </c:pt>
                <c:pt idx="15">
                  <c:v>38.647342995169083</c:v>
                </c:pt>
                <c:pt idx="16">
                  <c:v>41.062801932367151</c:v>
                </c:pt>
                <c:pt idx="17">
                  <c:v>43.478260869565219</c:v>
                </c:pt>
                <c:pt idx="18">
                  <c:v>45.893719806763286</c:v>
                </c:pt>
                <c:pt idx="19">
                  <c:v>48.309178743961354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40-41A7-9A12-E2AD98993CB5}"/>
            </c:ext>
          </c:extLst>
        </c:ser>
        <c:ser>
          <c:idx val="2"/>
          <c:order val="2"/>
          <c:tx>
            <c:strRef>
              <c:f>'Data for graphs'!$D$3</c:f>
              <c:strCache>
                <c:ptCount val="1"/>
                <c:pt idx="0">
                  <c:v>Copper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for graphs'!$A$3:$A$23</c:f>
              <c:strCache>
                <c:ptCount val="21"/>
                <c:pt idx="0">
                  <c:v>Load (N)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strCache>
            </c:strRef>
          </c:cat>
          <c:val>
            <c:numRef>
              <c:f>'Data for graphs'!$D$4:$D$23</c:f>
              <c:numCache>
                <c:formatCode>General</c:formatCode>
                <c:ptCount val="20"/>
                <c:pt idx="0">
                  <c:v>1.4245014245014245</c:v>
                </c:pt>
                <c:pt idx="1">
                  <c:v>2.8490028490028489</c:v>
                </c:pt>
                <c:pt idx="2">
                  <c:v>4.2735042735042734</c:v>
                </c:pt>
                <c:pt idx="3">
                  <c:v>5.6980056980056979</c:v>
                </c:pt>
                <c:pt idx="4">
                  <c:v>7.1225071225071224</c:v>
                </c:pt>
                <c:pt idx="5">
                  <c:v>8.5470085470085468</c:v>
                </c:pt>
                <c:pt idx="6">
                  <c:v>9.9715099715099722</c:v>
                </c:pt>
                <c:pt idx="7">
                  <c:v>11.396011396011396</c:v>
                </c:pt>
                <c:pt idx="8">
                  <c:v>12.820512820512821</c:v>
                </c:pt>
                <c:pt idx="9">
                  <c:v>14.245014245014245</c:v>
                </c:pt>
                <c:pt idx="10">
                  <c:v>15.66951566951567</c:v>
                </c:pt>
                <c:pt idx="11">
                  <c:v>17.094017094017094</c:v>
                </c:pt>
                <c:pt idx="12">
                  <c:v>18.518518518518519</c:v>
                </c:pt>
                <c:pt idx="13">
                  <c:v>19.943019943019944</c:v>
                </c:pt>
                <c:pt idx="14">
                  <c:v>21.367521367521366</c:v>
                </c:pt>
                <c:pt idx="15">
                  <c:v>22.792022792022792</c:v>
                </c:pt>
                <c:pt idx="16">
                  <c:v>24.216524216524217</c:v>
                </c:pt>
                <c:pt idx="17">
                  <c:v>25.641025641025642</c:v>
                </c:pt>
                <c:pt idx="18">
                  <c:v>27.065527065527064</c:v>
                </c:pt>
                <c:pt idx="19">
                  <c:v>28.490028490028489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40-41A7-9A12-E2AD9899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912895"/>
        <c:axId val="1796913375"/>
      </c:lineChart>
      <c:catAx>
        <c:axId val="179691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13375"/>
        <c:crosses val="autoZero"/>
        <c:auto val="1"/>
        <c:lblAlgn val="ctr"/>
        <c:lblOffset val="100"/>
        <c:noMultiLvlLbl val="0"/>
      </c:catAx>
      <c:valAx>
        <c:axId val="179691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1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for graphs'!$H$3</c:f>
              <c:strCache>
                <c:ptCount val="1"/>
                <c:pt idx="0">
                  <c:v>Steel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for graphs'!$G$4:$G$23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</c:numCache>
            </c:numRef>
          </c:cat>
          <c:val>
            <c:numRef>
              <c:f>'Data for graphs'!$H$4:$H$23</c:f>
              <c:numCache>
                <c:formatCode>General</c:formatCode>
                <c:ptCount val="20"/>
                <c:pt idx="0">
                  <c:v>1.5625</c:v>
                </c:pt>
                <c:pt idx="1">
                  <c:v>3.125</c:v>
                </c:pt>
                <c:pt idx="2">
                  <c:v>4.6875</c:v>
                </c:pt>
                <c:pt idx="3">
                  <c:v>6.25</c:v>
                </c:pt>
                <c:pt idx="4">
                  <c:v>7.8125</c:v>
                </c:pt>
                <c:pt idx="5">
                  <c:v>9.375</c:v>
                </c:pt>
                <c:pt idx="6">
                  <c:v>10.9375</c:v>
                </c:pt>
                <c:pt idx="7">
                  <c:v>12.5</c:v>
                </c:pt>
                <c:pt idx="8">
                  <c:v>14.0625</c:v>
                </c:pt>
                <c:pt idx="9">
                  <c:v>15.625</c:v>
                </c:pt>
                <c:pt idx="10">
                  <c:v>17.1875</c:v>
                </c:pt>
                <c:pt idx="11">
                  <c:v>18.75</c:v>
                </c:pt>
                <c:pt idx="12">
                  <c:v>20.3125</c:v>
                </c:pt>
                <c:pt idx="13">
                  <c:v>21.875</c:v>
                </c:pt>
                <c:pt idx="14">
                  <c:v>23.4375</c:v>
                </c:pt>
                <c:pt idx="15">
                  <c:v>25</c:v>
                </c:pt>
                <c:pt idx="16">
                  <c:v>26.5625</c:v>
                </c:pt>
                <c:pt idx="17">
                  <c:v>28.125</c:v>
                </c:pt>
                <c:pt idx="18">
                  <c:v>29.6875</c:v>
                </c:pt>
                <c:pt idx="19">
                  <c:v>31.25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9-4A1F-AF44-2B897DB27E23}"/>
            </c:ext>
          </c:extLst>
        </c:ser>
        <c:ser>
          <c:idx val="1"/>
          <c:order val="1"/>
          <c:tx>
            <c:strRef>
              <c:f>'Data for graphs'!$I$3</c:f>
              <c:strCache>
                <c:ptCount val="1"/>
                <c:pt idx="0">
                  <c:v>Aluminum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for graphs'!$G$4:$G$23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</c:numCache>
            </c:numRef>
          </c:cat>
          <c:val>
            <c:numRef>
              <c:f>'Data for graphs'!$I$4:$I$23</c:f>
              <c:numCache>
                <c:formatCode>General</c:formatCode>
                <c:ptCount val="20"/>
                <c:pt idx="0">
                  <c:v>4.5289855072463769</c:v>
                </c:pt>
                <c:pt idx="1">
                  <c:v>9.0579710144927539</c:v>
                </c:pt>
                <c:pt idx="2">
                  <c:v>13.586956521739131</c:v>
                </c:pt>
                <c:pt idx="3">
                  <c:v>18.115942028985508</c:v>
                </c:pt>
                <c:pt idx="4">
                  <c:v>22.644927536231883</c:v>
                </c:pt>
                <c:pt idx="5">
                  <c:v>27.173913043478262</c:v>
                </c:pt>
                <c:pt idx="6">
                  <c:v>31.702898550724637</c:v>
                </c:pt>
                <c:pt idx="7">
                  <c:v>36.231884057971016</c:v>
                </c:pt>
                <c:pt idx="8">
                  <c:v>40.760869565217391</c:v>
                </c:pt>
                <c:pt idx="9">
                  <c:v>45.289855072463766</c:v>
                </c:pt>
                <c:pt idx="10">
                  <c:v>49.818840579710148</c:v>
                </c:pt>
                <c:pt idx="11">
                  <c:v>54.347826086956523</c:v>
                </c:pt>
                <c:pt idx="12">
                  <c:v>58.876811594202898</c:v>
                </c:pt>
                <c:pt idx="13">
                  <c:v>63.405797101449274</c:v>
                </c:pt>
                <c:pt idx="14">
                  <c:v>67.934782608695656</c:v>
                </c:pt>
                <c:pt idx="15">
                  <c:v>72.463768115942031</c:v>
                </c:pt>
                <c:pt idx="16">
                  <c:v>76.992753623188406</c:v>
                </c:pt>
                <c:pt idx="17">
                  <c:v>81.521739130434781</c:v>
                </c:pt>
                <c:pt idx="18">
                  <c:v>86.050724637681157</c:v>
                </c:pt>
                <c:pt idx="19">
                  <c:v>90.579710144927532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39-4A1F-AF44-2B897DB27E23}"/>
            </c:ext>
          </c:extLst>
        </c:ser>
        <c:ser>
          <c:idx val="2"/>
          <c:order val="2"/>
          <c:tx>
            <c:strRef>
              <c:f>'Data for graphs'!$J$3</c:f>
              <c:strCache>
                <c:ptCount val="1"/>
                <c:pt idx="0">
                  <c:v>Copper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for graphs'!$G$4:$G$23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</c:numCache>
            </c:numRef>
          </c:cat>
          <c:val>
            <c:numRef>
              <c:f>'Data for graphs'!$J$4:$J$23</c:f>
              <c:numCache>
                <c:formatCode>General</c:formatCode>
                <c:ptCount val="20"/>
                <c:pt idx="0">
                  <c:v>2.6709401709401708</c:v>
                </c:pt>
                <c:pt idx="1">
                  <c:v>5.3418803418803416</c:v>
                </c:pt>
                <c:pt idx="2">
                  <c:v>8.0128205128205128</c:v>
                </c:pt>
                <c:pt idx="3">
                  <c:v>10.683760683760683</c:v>
                </c:pt>
                <c:pt idx="4">
                  <c:v>13.354700854700855</c:v>
                </c:pt>
                <c:pt idx="5">
                  <c:v>16.025641025641026</c:v>
                </c:pt>
                <c:pt idx="6">
                  <c:v>18.696581196581196</c:v>
                </c:pt>
                <c:pt idx="7">
                  <c:v>21.367521367521366</c:v>
                </c:pt>
                <c:pt idx="8">
                  <c:v>24.03846153846154</c:v>
                </c:pt>
                <c:pt idx="9">
                  <c:v>26.70940170940171</c:v>
                </c:pt>
                <c:pt idx="10">
                  <c:v>29.380341880341881</c:v>
                </c:pt>
                <c:pt idx="11">
                  <c:v>32.051282051282051</c:v>
                </c:pt>
                <c:pt idx="12">
                  <c:v>34.722222222222221</c:v>
                </c:pt>
                <c:pt idx="13">
                  <c:v>37.393162393162392</c:v>
                </c:pt>
                <c:pt idx="14">
                  <c:v>40.064102564102562</c:v>
                </c:pt>
                <c:pt idx="15">
                  <c:v>42.735042735042732</c:v>
                </c:pt>
                <c:pt idx="16">
                  <c:v>45.405982905982903</c:v>
                </c:pt>
                <c:pt idx="17">
                  <c:v>48.07692307692308</c:v>
                </c:pt>
                <c:pt idx="18">
                  <c:v>50.747863247863251</c:v>
                </c:pt>
                <c:pt idx="19">
                  <c:v>53.418803418803421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39-4A1F-AF44-2B897DB27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907615"/>
        <c:axId val="1796904735"/>
      </c:lineChart>
      <c:catAx>
        <c:axId val="179690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04735"/>
        <c:crosses val="autoZero"/>
        <c:auto val="1"/>
        <c:lblAlgn val="ctr"/>
        <c:lblOffset val="100"/>
        <c:noMultiLvlLbl val="0"/>
      </c:catAx>
      <c:valAx>
        <c:axId val="179690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0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for graphs'!$N$3</c:f>
              <c:strCache>
                <c:ptCount val="1"/>
                <c:pt idx="0">
                  <c:v>Steel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for graphs'!$M$4:$M$23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cat>
          <c:val>
            <c:numRef>
              <c:f>'Data for graphs'!$N$4:$N$23</c:f>
              <c:numCache>
                <c:formatCode>General</c:formatCode>
                <c:ptCount val="20"/>
                <c:pt idx="0">
                  <c:v>5.2083333333333336E-2</c:v>
                </c:pt>
                <c:pt idx="1">
                  <c:v>0.10416666666666667</c:v>
                </c:pt>
                <c:pt idx="2">
                  <c:v>0.15625</c:v>
                </c:pt>
                <c:pt idx="3">
                  <c:v>0.20833333333333334</c:v>
                </c:pt>
                <c:pt idx="4">
                  <c:v>0.26041666666666669</c:v>
                </c:pt>
                <c:pt idx="5">
                  <c:v>0.3125</c:v>
                </c:pt>
                <c:pt idx="6">
                  <c:v>0.36458333333333331</c:v>
                </c:pt>
                <c:pt idx="7">
                  <c:v>0.41666666666666669</c:v>
                </c:pt>
                <c:pt idx="8">
                  <c:v>0.46875</c:v>
                </c:pt>
                <c:pt idx="9">
                  <c:v>0.52083333333333337</c:v>
                </c:pt>
                <c:pt idx="10">
                  <c:v>0.57291666666666663</c:v>
                </c:pt>
                <c:pt idx="11">
                  <c:v>0.625</c:v>
                </c:pt>
                <c:pt idx="12">
                  <c:v>0.67708333333333337</c:v>
                </c:pt>
                <c:pt idx="13">
                  <c:v>0.72916666666666663</c:v>
                </c:pt>
                <c:pt idx="14">
                  <c:v>0.78125</c:v>
                </c:pt>
                <c:pt idx="15">
                  <c:v>0.83333333333333337</c:v>
                </c:pt>
                <c:pt idx="16">
                  <c:v>0.88541666666666663</c:v>
                </c:pt>
                <c:pt idx="17">
                  <c:v>0.9375</c:v>
                </c:pt>
                <c:pt idx="18">
                  <c:v>0.98958333333333337</c:v>
                </c:pt>
                <c:pt idx="19">
                  <c:v>1.0416666666666667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2-490B-B574-5DA86FD02B40}"/>
            </c:ext>
          </c:extLst>
        </c:ser>
        <c:ser>
          <c:idx val="1"/>
          <c:order val="1"/>
          <c:tx>
            <c:strRef>
              <c:f>'Data for graphs'!$O$3</c:f>
              <c:strCache>
                <c:ptCount val="1"/>
                <c:pt idx="0">
                  <c:v>Aluminum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for graphs'!$M$4:$M$23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cat>
          <c:val>
            <c:numRef>
              <c:f>'Data for graphs'!$O$4:$O$23</c:f>
              <c:numCache>
                <c:formatCode>General</c:formatCode>
                <c:ptCount val="20"/>
                <c:pt idx="0">
                  <c:v>0.15096618357487923</c:v>
                </c:pt>
                <c:pt idx="1">
                  <c:v>0.30193236714975846</c:v>
                </c:pt>
                <c:pt idx="2">
                  <c:v>0.45289855072463769</c:v>
                </c:pt>
                <c:pt idx="3">
                  <c:v>0.60386473429951693</c:v>
                </c:pt>
                <c:pt idx="4">
                  <c:v>0.75483091787439616</c:v>
                </c:pt>
                <c:pt idx="5">
                  <c:v>0.90579710144927539</c:v>
                </c:pt>
                <c:pt idx="6">
                  <c:v>1.0567632850241546</c:v>
                </c:pt>
                <c:pt idx="7">
                  <c:v>1.2077294685990339</c:v>
                </c:pt>
                <c:pt idx="8">
                  <c:v>1.3586956521739131</c:v>
                </c:pt>
                <c:pt idx="9">
                  <c:v>1.5096618357487923</c:v>
                </c:pt>
                <c:pt idx="10">
                  <c:v>1.6606280193236715</c:v>
                </c:pt>
                <c:pt idx="11">
                  <c:v>1.8115942028985508</c:v>
                </c:pt>
                <c:pt idx="12">
                  <c:v>1.96256038647343</c:v>
                </c:pt>
                <c:pt idx="13">
                  <c:v>2.1135265700483092</c:v>
                </c:pt>
                <c:pt idx="14">
                  <c:v>2.2644927536231885</c:v>
                </c:pt>
                <c:pt idx="15">
                  <c:v>2.4154589371980677</c:v>
                </c:pt>
                <c:pt idx="16">
                  <c:v>2.5664251207729469</c:v>
                </c:pt>
                <c:pt idx="17">
                  <c:v>2.7173913043478262</c:v>
                </c:pt>
                <c:pt idx="18">
                  <c:v>2.8683574879227054</c:v>
                </c:pt>
                <c:pt idx="19">
                  <c:v>3.0193236714975846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2-490B-B574-5DA86FD02B40}"/>
            </c:ext>
          </c:extLst>
        </c:ser>
        <c:ser>
          <c:idx val="2"/>
          <c:order val="2"/>
          <c:tx>
            <c:strRef>
              <c:f>'Data for graphs'!$P$3</c:f>
              <c:strCache>
                <c:ptCount val="1"/>
                <c:pt idx="0">
                  <c:v>Copper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for graphs'!$M$4:$M$23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cat>
          <c:val>
            <c:numRef>
              <c:f>'Data for graphs'!$P$4:$P$23</c:f>
              <c:numCache>
                <c:formatCode>General</c:formatCode>
                <c:ptCount val="20"/>
                <c:pt idx="0">
                  <c:v>8.903133903133903E-2</c:v>
                </c:pt>
                <c:pt idx="1">
                  <c:v>0.17806267806267806</c:v>
                </c:pt>
                <c:pt idx="2">
                  <c:v>0.26709401709401709</c:v>
                </c:pt>
                <c:pt idx="3">
                  <c:v>0.35612535612535612</c:v>
                </c:pt>
                <c:pt idx="4">
                  <c:v>0.44515669515669515</c:v>
                </c:pt>
                <c:pt idx="5">
                  <c:v>0.53418803418803418</c:v>
                </c:pt>
                <c:pt idx="6">
                  <c:v>0.62321937321937326</c:v>
                </c:pt>
                <c:pt idx="7">
                  <c:v>0.71225071225071224</c:v>
                </c:pt>
                <c:pt idx="8">
                  <c:v>0.80128205128205132</c:v>
                </c:pt>
                <c:pt idx="9">
                  <c:v>0.8903133903133903</c:v>
                </c:pt>
                <c:pt idx="10">
                  <c:v>0.97934472934472938</c:v>
                </c:pt>
                <c:pt idx="11">
                  <c:v>1.0683760683760684</c:v>
                </c:pt>
                <c:pt idx="12">
                  <c:v>1.1574074074074074</c:v>
                </c:pt>
                <c:pt idx="13">
                  <c:v>1.2464387464387465</c:v>
                </c:pt>
                <c:pt idx="14">
                  <c:v>1.3354700854700854</c:v>
                </c:pt>
                <c:pt idx="15">
                  <c:v>1.4245014245014245</c:v>
                </c:pt>
                <c:pt idx="16">
                  <c:v>1.5135327635327636</c:v>
                </c:pt>
                <c:pt idx="17">
                  <c:v>1.6025641025641026</c:v>
                </c:pt>
                <c:pt idx="18">
                  <c:v>1.6915954415954415</c:v>
                </c:pt>
                <c:pt idx="19">
                  <c:v>1.7806267806267806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42-490B-B574-5DA86FD02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903775"/>
        <c:axId val="1796905215"/>
      </c:lineChart>
      <c:catAx>
        <c:axId val="179690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05215"/>
        <c:crosses val="autoZero"/>
        <c:auto val="1"/>
        <c:lblAlgn val="ctr"/>
        <c:lblOffset val="100"/>
        <c:noMultiLvlLbl val="0"/>
      </c:catAx>
      <c:valAx>
        <c:axId val="179690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0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for graphs'!$T$3</c:f>
              <c:strCache>
                <c:ptCount val="1"/>
                <c:pt idx="0">
                  <c:v>Steel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for graphs'!$S$4:$S$23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</c:numCache>
            </c:numRef>
          </c:cat>
          <c:val>
            <c:numRef>
              <c:f>'Data for graphs'!$T$4:$T$23</c:f>
              <c:numCache>
                <c:formatCode>General</c:formatCode>
                <c:ptCount val="20"/>
                <c:pt idx="0">
                  <c:v>0.16276041666666666</c:v>
                </c:pt>
                <c:pt idx="1">
                  <c:v>0.32552083333333331</c:v>
                </c:pt>
                <c:pt idx="2">
                  <c:v>0.48828125</c:v>
                </c:pt>
                <c:pt idx="3">
                  <c:v>0.65104166666666663</c:v>
                </c:pt>
                <c:pt idx="4">
                  <c:v>0.81380208333333337</c:v>
                </c:pt>
                <c:pt idx="5">
                  <c:v>0.9765625</c:v>
                </c:pt>
                <c:pt idx="6">
                  <c:v>1.1393229166666667</c:v>
                </c:pt>
                <c:pt idx="7">
                  <c:v>1.3020833333333333</c:v>
                </c:pt>
                <c:pt idx="8">
                  <c:v>1.46484375</c:v>
                </c:pt>
                <c:pt idx="9">
                  <c:v>1.6276041666666667</c:v>
                </c:pt>
                <c:pt idx="10">
                  <c:v>1.7903645833333333</c:v>
                </c:pt>
                <c:pt idx="11">
                  <c:v>1.953125</c:v>
                </c:pt>
                <c:pt idx="12">
                  <c:v>2.1158854166666665</c:v>
                </c:pt>
                <c:pt idx="13">
                  <c:v>2.2786458333333335</c:v>
                </c:pt>
                <c:pt idx="14">
                  <c:v>2.44140625</c:v>
                </c:pt>
                <c:pt idx="15">
                  <c:v>2.6041666666666665</c:v>
                </c:pt>
                <c:pt idx="16">
                  <c:v>2.7669270833333335</c:v>
                </c:pt>
                <c:pt idx="17">
                  <c:v>2.9296875</c:v>
                </c:pt>
                <c:pt idx="18">
                  <c:v>3.0924479166666665</c:v>
                </c:pt>
                <c:pt idx="19">
                  <c:v>3.2552083333333335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E-47F7-98E5-A7C6CBB4E14D}"/>
            </c:ext>
          </c:extLst>
        </c:ser>
        <c:ser>
          <c:idx val="1"/>
          <c:order val="1"/>
          <c:tx>
            <c:strRef>
              <c:f>'Data for graphs'!$U$3</c:f>
              <c:strCache>
                <c:ptCount val="1"/>
                <c:pt idx="0">
                  <c:v>Aluminum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for graphs'!$S$4:$S$23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</c:numCache>
            </c:numRef>
          </c:cat>
          <c:val>
            <c:numRef>
              <c:f>'Data for graphs'!$U$4:$U$23</c:f>
              <c:numCache>
                <c:formatCode>General</c:formatCode>
                <c:ptCount val="20"/>
                <c:pt idx="0">
                  <c:v>0.4717693236714976</c:v>
                </c:pt>
                <c:pt idx="1">
                  <c:v>0.9435386473429952</c:v>
                </c:pt>
                <c:pt idx="2">
                  <c:v>1.4153079710144927</c:v>
                </c:pt>
                <c:pt idx="3">
                  <c:v>1.8870772946859904</c:v>
                </c:pt>
                <c:pt idx="4">
                  <c:v>2.3588466183574881</c:v>
                </c:pt>
                <c:pt idx="5">
                  <c:v>2.8306159420289854</c:v>
                </c:pt>
                <c:pt idx="6">
                  <c:v>3.3023852657004831</c:v>
                </c:pt>
                <c:pt idx="7">
                  <c:v>3.7741545893719808</c:v>
                </c:pt>
                <c:pt idx="8">
                  <c:v>4.2459239130434785</c:v>
                </c:pt>
                <c:pt idx="9">
                  <c:v>4.7176932367149762</c:v>
                </c:pt>
                <c:pt idx="10">
                  <c:v>5.189462560386473</c:v>
                </c:pt>
                <c:pt idx="11">
                  <c:v>5.6612318840579707</c:v>
                </c:pt>
                <c:pt idx="12">
                  <c:v>6.1330012077294684</c:v>
                </c:pt>
                <c:pt idx="13">
                  <c:v>6.6047705314009661</c:v>
                </c:pt>
                <c:pt idx="14">
                  <c:v>7.0765398550724639</c:v>
                </c:pt>
                <c:pt idx="15">
                  <c:v>7.5483091787439616</c:v>
                </c:pt>
                <c:pt idx="16">
                  <c:v>8.0200785024154584</c:v>
                </c:pt>
                <c:pt idx="17">
                  <c:v>8.491847826086957</c:v>
                </c:pt>
                <c:pt idx="18">
                  <c:v>8.9636171497584538</c:v>
                </c:pt>
                <c:pt idx="19">
                  <c:v>9.4353864734299524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E-47F7-98E5-A7C6CBB4E14D}"/>
            </c:ext>
          </c:extLst>
        </c:ser>
        <c:ser>
          <c:idx val="2"/>
          <c:order val="2"/>
          <c:tx>
            <c:strRef>
              <c:f>'Data for graphs'!$V$3</c:f>
              <c:strCache>
                <c:ptCount val="1"/>
                <c:pt idx="0">
                  <c:v>Copper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for graphs'!$S$4:$S$23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</c:numCache>
            </c:numRef>
          </c:cat>
          <c:val>
            <c:numRef>
              <c:f>'Data for graphs'!$V$4:$V$23</c:f>
              <c:numCache>
                <c:formatCode>General</c:formatCode>
                <c:ptCount val="20"/>
                <c:pt idx="0">
                  <c:v>0.27822293447293445</c:v>
                </c:pt>
                <c:pt idx="1">
                  <c:v>0.55644586894586889</c:v>
                </c:pt>
                <c:pt idx="2">
                  <c:v>0.83466880341880345</c:v>
                </c:pt>
                <c:pt idx="3">
                  <c:v>1.1128917378917378</c:v>
                </c:pt>
                <c:pt idx="4">
                  <c:v>1.3911146723646723</c:v>
                </c:pt>
                <c:pt idx="5">
                  <c:v>1.6693376068376069</c:v>
                </c:pt>
                <c:pt idx="6">
                  <c:v>1.9475605413105412</c:v>
                </c:pt>
                <c:pt idx="7">
                  <c:v>2.2257834757834756</c:v>
                </c:pt>
                <c:pt idx="8">
                  <c:v>2.5040064102564101</c:v>
                </c:pt>
                <c:pt idx="9">
                  <c:v>2.7822293447293447</c:v>
                </c:pt>
                <c:pt idx="10">
                  <c:v>3.0604522792022792</c:v>
                </c:pt>
                <c:pt idx="11">
                  <c:v>3.3386752136752138</c:v>
                </c:pt>
                <c:pt idx="12">
                  <c:v>3.6168981481481484</c:v>
                </c:pt>
                <c:pt idx="13">
                  <c:v>3.8951210826210825</c:v>
                </c:pt>
                <c:pt idx="14">
                  <c:v>4.173344017094017</c:v>
                </c:pt>
                <c:pt idx="15">
                  <c:v>4.4515669515669511</c:v>
                </c:pt>
                <c:pt idx="16">
                  <c:v>4.7297898860398861</c:v>
                </c:pt>
                <c:pt idx="17">
                  <c:v>5.0080128205128203</c:v>
                </c:pt>
                <c:pt idx="18">
                  <c:v>5.2862357549857553</c:v>
                </c:pt>
                <c:pt idx="19">
                  <c:v>5.5644586894586894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2E-47F7-98E5-A7C6CBB4E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2257359"/>
        <c:axId val="942257839"/>
      </c:lineChart>
      <c:catAx>
        <c:axId val="94225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57839"/>
        <c:crosses val="autoZero"/>
        <c:auto val="1"/>
        <c:lblAlgn val="ctr"/>
        <c:lblOffset val="100"/>
        <c:noMultiLvlLbl val="0"/>
      </c:catAx>
      <c:valAx>
        <c:axId val="9422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5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601980</xdr:colOff>
      <xdr:row>17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1EC8D2-67E8-4D25-B7C3-92A13E8EC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BD747F-46BF-4FBC-8C8D-AAA4F1ADC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185056</xdr:rowOff>
    </xdr:from>
    <xdr:to>
      <xdr:col>24</xdr:col>
      <xdr:colOff>0</xdr:colOff>
      <xdr:row>17</xdr:row>
      <xdr:rowOff>10884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4A0E1D-81BB-4079-8D3E-8AA2C0409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2</xdr:row>
      <xdr:rowOff>0</xdr:rowOff>
    </xdr:from>
    <xdr:to>
      <xdr:col>32</xdr:col>
      <xdr:colOff>587828</xdr:colOff>
      <xdr:row>16</xdr:row>
      <xdr:rowOff>174172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911E8B-8BFC-4344-B318-34F216863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beam_analysis_complete.xlsx" TargetMode="External"/><Relationship Id="rId1" Type="http://schemas.openxmlformats.org/officeDocument/2006/relationships/externalLinkPath" Target="file:///C:\Users\LENOVO\Downloads\beam_analysis_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erials Properties"/>
      <sheetName val="Cantilever + Point Load"/>
      <sheetName val="Cantilever + UDL"/>
      <sheetName val="Simply Supported + Point Load"/>
      <sheetName val="Simply Supported + UDL"/>
    </sheetNames>
    <sheetDataSet>
      <sheetData sheetId="0">
        <row r="2">
          <cell r="B2">
            <v>200000</v>
          </cell>
          <cell r="C2">
            <v>250</v>
          </cell>
        </row>
        <row r="3">
          <cell r="B3">
            <v>69000</v>
          </cell>
          <cell r="C3">
            <v>276</v>
          </cell>
        </row>
        <row r="4">
          <cell r="B4">
            <v>117000</v>
          </cell>
          <cell r="C4">
            <v>70</v>
          </cell>
        </row>
        <row r="5">
          <cell r="B5">
            <v>2300</v>
          </cell>
          <cell r="C5">
            <v>40</v>
          </cell>
        </row>
        <row r="7">
          <cell r="B7">
            <v>500</v>
          </cell>
        </row>
        <row r="8">
          <cell r="B8">
            <v>30</v>
          </cell>
        </row>
        <row r="9">
          <cell r="B9">
            <v>10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D39C-A142-46C2-9532-9C40076D5753}">
  <dimension ref="A1:D9"/>
  <sheetViews>
    <sheetView workbookViewId="0">
      <selection activeCell="C27" sqref="C27"/>
    </sheetView>
  </sheetViews>
  <sheetFormatPr defaultRowHeight="14.4" x14ac:dyDescent="0.3"/>
  <cols>
    <col min="1" max="1" width="16.33203125" bestFit="1" customWidth="1"/>
    <col min="2" max="2" width="21.44140625" bestFit="1" customWidth="1"/>
    <col min="3" max="3" width="18.5546875" bestFit="1" customWidth="1"/>
    <col min="4" max="4" width="14.33203125" bestFit="1" customWidth="1"/>
  </cols>
  <sheetData>
    <row r="1" spans="1:4" ht="26.4" x14ac:dyDescent="0.3">
      <c r="A1" s="4" t="s">
        <v>0</v>
      </c>
      <c r="B1" s="4" t="s">
        <v>7</v>
      </c>
      <c r="C1" s="4" t="s">
        <v>1</v>
      </c>
      <c r="D1" s="4" t="s">
        <v>2</v>
      </c>
    </row>
    <row r="2" spans="1:4" x14ac:dyDescent="0.3">
      <c r="A2" s="5" t="s">
        <v>3</v>
      </c>
      <c r="B2" s="6">
        <v>200000</v>
      </c>
      <c r="C2" s="6">
        <v>250</v>
      </c>
      <c r="D2" s="6">
        <v>7850</v>
      </c>
    </row>
    <row r="3" spans="1:4" x14ac:dyDescent="0.3">
      <c r="A3" s="5" t="s">
        <v>4</v>
      </c>
      <c r="B3" s="6">
        <v>69000</v>
      </c>
      <c r="C3" s="6">
        <v>276</v>
      </c>
      <c r="D3" s="6">
        <v>2700</v>
      </c>
    </row>
    <row r="4" spans="1:4" x14ac:dyDescent="0.3">
      <c r="A4" s="5" t="s">
        <v>5</v>
      </c>
      <c r="B4" s="6">
        <v>117000</v>
      </c>
      <c r="C4" s="6">
        <v>70</v>
      </c>
      <c r="D4" s="6">
        <v>8960</v>
      </c>
    </row>
    <row r="5" spans="1:4" x14ac:dyDescent="0.3">
      <c r="A5" s="5" t="s">
        <v>6</v>
      </c>
      <c r="B5" s="6">
        <v>2300</v>
      </c>
      <c r="C5" s="6">
        <v>40</v>
      </c>
      <c r="D5" s="6">
        <v>1040</v>
      </c>
    </row>
    <row r="6" spans="1:4" x14ac:dyDescent="0.3">
      <c r="A6" s="7" t="s">
        <v>16</v>
      </c>
    </row>
    <row r="7" spans="1:4" x14ac:dyDescent="0.3">
      <c r="A7" s="5" t="s">
        <v>8</v>
      </c>
      <c r="B7" s="6">
        <v>500</v>
      </c>
    </row>
    <row r="8" spans="1:4" x14ac:dyDescent="0.3">
      <c r="A8" s="5" t="s">
        <v>9</v>
      </c>
      <c r="B8" s="6">
        <v>30</v>
      </c>
    </row>
    <row r="9" spans="1:4" x14ac:dyDescent="0.3">
      <c r="A9" s="5" t="s">
        <v>10</v>
      </c>
      <c r="B9" s="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workbookViewId="0">
      <selection activeCell="E75" sqref="E75:E94"/>
    </sheetView>
  </sheetViews>
  <sheetFormatPr defaultRowHeight="14.4" x14ac:dyDescent="0.3"/>
  <cols>
    <col min="1" max="1" width="21.44140625" bestFit="1" customWidth="1"/>
    <col min="2" max="2" width="13.33203125" bestFit="1" customWidth="1"/>
    <col min="3" max="3" width="14.44140625" bestFit="1" customWidth="1"/>
    <col min="4" max="4" width="13.21875" bestFit="1" customWidth="1"/>
    <col min="5" max="5" width="12" bestFit="1" customWidth="1"/>
    <col min="6" max="6" width="9.5546875" customWidth="1"/>
  </cols>
  <sheetData>
    <row r="1" spans="1:6" ht="16.8" x14ac:dyDescent="0.3">
      <c r="A1" s="9" t="s">
        <v>30</v>
      </c>
      <c r="B1" s="8"/>
      <c r="C1" s="8"/>
      <c r="D1" s="8"/>
      <c r="E1" s="8"/>
      <c r="F1" s="8"/>
    </row>
    <row r="2" spans="1:6" x14ac:dyDescent="0.3">
      <c r="A2" s="10" t="s">
        <v>17</v>
      </c>
      <c r="B2" s="8"/>
      <c r="C2" s="8"/>
      <c r="D2" s="8"/>
      <c r="E2" s="8"/>
      <c r="F2" s="8"/>
    </row>
    <row r="4" spans="1:6" x14ac:dyDescent="0.3">
      <c r="A4" s="11" t="s">
        <v>18</v>
      </c>
      <c r="B4" s="8"/>
      <c r="C4" s="8"/>
      <c r="D4" s="8"/>
      <c r="E4" s="8"/>
      <c r="F4" s="8"/>
    </row>
    <row r="5" spans="1:6" x14ac:dyDescent="0.3">
      <c r="A5" s="4" t="s">
        <v>19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11</v>
      </c>
    </row>
    <row r="6" spans="1:6" x14ac:dyDescent="0.3">
      <c r="A6" s="12">
        <v>10</v>
      </c>
      <c r="B6" s="13">
        <f>'[1]Materials Properties'!$B$8*'[1]Materials Properties'!$B$9^3/12</f>
        <v>2500</v>
      </c>
      <c r="C6" s="14">
        <f>A6*'[1]Materials Properties'!$B$7</f>
        <v>5000</v>
      </c>
      <c r="D6" s="13">
        <f>C6*('[1]Materials Properties'!$B$9/2)/B6</f>
        <v>10</v>
      </c>
      <c r="E6" s="15">
        <f>A6*'[1]Materials Properties'!$B$7^3/(3*'[1]Materials Properties'!$B$2*B6)</f>
        <v>0.83333333333333337</v>
      </c>
      <c r="F6" s="13">
        <f>'[1]Materials Properties'!$C$2/D6</f>
        <v>25</v>
      </c>
    </row>
    <row r="7" spans="1:6" x14ac:dyDescent="0.3">
      <c r="A7" s="12">
        <v>20</v>
      </c>
      <c r="B7" s="13">
        <f>'[1]Materials Properties'!$B$8*'[1]Materials Properties'!$B$9^3/12</f>
        <v>2500</v>
      </c>
      <c r="C7" s="14">
        <f>A7*'[1]Materials Properties'!$B$7</f>
        <v>10000</v>
      </c>
      <c r="D7" s="13">
        <f>C7*('[1]Materials Properties'!$B$9/2)/B7</f>
        <v>20</v>
      </c>
      <c r="E7" s="15">
        <f>A7*'[1]Materials Properties'!$B$7^3/(3*'[1]Materials Properties'!$B$2*B7)</f>
        <v>1.6666666666666667</v>
      </c>
      <c r="F7" s="13">
        <f>'[1]Materials Properties'!$C$2/D7</f>
        <v>12.5</v>
      </c>
    </row>
    <row r="8" spans="1:6" x14ac:dyDescent="0.3">
      <c r="A8" s="12">
        <v>30</v>
      </c>
      <c r="B8" s="13">
        <f>'[1]Materials Properties'!$B$8*'[1]Materials Properties'!$B$9^3/12</f>
        <v>2500</v>
      </c>
      <c r="C8" s="14">
        <f>A8*'[1]Materials Properties'!$B$7</f>
        <v>15000</v>
      </c>
      <c r="D8" s="13">
        <f>C8*('[1]Materials Properties'!$B$9/2)/B8</f>
        <v>30</v>
      </c>
      <c r="E8" s="15">
        <f>A8*'[1]Materials Properties'!$B$7^3/(3*'[1]Materials Properties'!$B$2*B8)</f>
        <v>2.5</v>
      </c>
      <c r="F8" s="13">
        <f>'[1]Materials Properties'!$C$2/D8</f>
        <v>8.3333333333333339</v>
      </c>
    </row>
    <row r="9" spans="1:6" x14ac:dyDescent="0.3">
      <c r="A9" s="12">
        <v>40</v>
      </c>
      <c r="B9" s="13">
        <f>'[1]Materials Properties'!$B$8*'[1]Materials Properties'!$B$9^3/12</f>
        <v>2500</v>
      </c>
      <c r="C9" s="14">
        <f>A9*'[1]Materials Properties'!$B$7</f>
        <v>20000</v>
      </c>
      <c r="D9" s="13">
        <f>C9*('[1]Materials Properties'!$B$9/2)/B9</f>
        <v>40</v>
      </c>
      <c r="E9" s="15">
        <f>A9*'[1]Materials Properties'!$B$7^3/(3*'[1]Materials Properties'!$B$2*B9)</f>
        <v>3.3333333333333335</v>
      </c>
      <c r="F9" s="13">
        <f>'[1]Materials Properties'!$C$2/D9</f>
        <v>6.25</v>
      </c>
    </row>
    <row r="10" spans="1:6" x14ac:dyDescent="0.3">
      <c r="A10" s="12">
        <v>50</v>
      </c>
      <c r="B10" s="13">
        <f>'[1]Materials Properties'!$B$8*'[1]Materials Properties'!$B$9^3/12</f>
        <v>2500</v>
      </c>
      <c r="C10" s="14">
        <f>A10*'[1]Materials Properties'!$B$7</f>
        <v>25000</v>
      </c>
      <c r="D10" s="13">
        <f>C10*('[1]Materials Properties'!$B$9/2)/B10</f>
        <v>50</v>
      </c>
      <c r="E10" s="15">
        <f>A10*'[1]Materials Properties'!$B$7^3/(3*'[1]Materials Properties'!$B$2*B10)</f>
        <v>4.166666666666667</v>
      </c>
      <c r="F10" s="13">
        <f>'[1]Materials Properties'!$C$2/D10</f>
        <v>5</v>
      </c>
    </row>
    <row r="11" spans="1:6" x14ac:dyDescent="0.3">
      <c r="A11" s="12">
        <v>60</v>
      </c>
      <c r="B11" s="13">
        <f>'[1]Materials Properties'!$B$8*'[1]Materials Properties'!$B$9^3/12</f>
        <v>2500</v>
      </c>
      <c r="C11" s="14">
        <f>A11*'[1]Materials Properties'!$B$7</f>
        <v>30000</v>
      </c>
      <c r="D11" s="13">
        <f>C11*('[1]Materials Properties'!$B$9/2)/B11</f>
        <v>60</v>
      </c>
      <c r="E11" s="15">
        <f>A11*'[1]Materials Properties'!$B$7^3/(3*'[1]Materials Properties'!$B$2*B11)</f>
        <v>5</v>
      </c>
      <c r="F11" s="13">
        <f>'[1]Materials Properties'!$C$2/D11</f>
        <v>4.166666666666667</v>
      </c>
    </row>
    <row r="12" spans="1:6" x14ac:dyDescent="0.3">
      <c r="A12" s="12">
        <v>70</v>
      </c>
      <c r="B12" s="13">
        <f>'[1]Materials Properties'!$B$8*'[1]Materials Properties'!$B$9^3/12</f>
        <v>2500</v>
      </c>
      <c r="C12" s="14">
        <f>A12*'[1]Materials Properties'!$B$7</f>
        <v>35000</v>
      </c>
      <c r="D12" s="13">
        <f>C12*('[1]Materials Properties'!$B$9/2)/B12</f>
        <v>70</v>
      </c>
      <c r="E12" s="15">
        <f>A12*'[1]Materials Properties'!$B$7^3/(3*'[1]Materials Properties'!$B$2*B12)</f>
        <v>5.833333333333333</v>
      </c>
      <c r="F12" s="13">
        <f>'[1]Materials Properties'!$C$2/D12</f>
        <v>3.5714285714285716</v>
      </c>
    </row>
    <row r="13" spans="1:6" x14ac:dyDescent="0.3">
      <c r="A13" s="12">
        <v>80</v>
      </c>
      <c r="B13" s="13">
        <f>'[1]Materials Properties'!$B$8*'[1]Materials Properties'!$B$9^3/12</f>
        <v>2500</v>
      </c>
      <c r="C13" s="14">
        <f>A13*'[1]Materials Properties'!$B$7</f>
        <v>40000</v>
      </c>
      <c r="D13" s="13">
        <f>C13*('[1]Materials Properties'!$B$9/2)/B13</f>
        <v>80</v>
      </c>
      <c r="E13" s="15">
        <f>A13*'[1]Materials Properties'!$B$7^3/(3*'[1]Materials Properties'!$B$2*B13)</f>
        <v>6.666666666666667</v>
      </c>
      <c r="F13" s="13">
        <f>'[1]Materials Properties'!$C$2/D13</f>
        <v>3.125</v>
      </c>
    </row>
    <row r="14" spans="1:6" x14ac:dyDescent="0.3">
      <c r="A14" s="12">
        <v>90</v>
      </c>
      <c r="B14" s="13">
        <f>'[1]Materials Properties'!$B$8*'[1]Materials Properties'!$B$9^3/12</f>
        <v>2500</v>
      </c>
      <c r="C14" s="14">
        <f>A14*'[1]Materials Properties'!$B$7</f>
        <v>45000</v>
      </c>
      <c r="D14" s="13">
        <f>C14*('[1]Materials Properties'!$B$9/2)/B14</f>
        <v>90</v>
      </c>
      <c r="E14" s="15">
        <f>A14*'[1]Materials Properties'!$B$7^3/(3*'[1]Materials Properties'!$B$2*B14)</f>
        <v>7.5</v>
      </c>
      <c r="F14" s="13">
        <f>'[1]Materials Properties'!$C$2/D14</f>
        <v>2.7777777777777777</v>
      </c>
    </row>
    <row r="15" spans="1:6" x14ac:dyDescent="0.3">
      <c r="A15" s="12">
        <v>100</v>
      </c>
      <c r="B15" s="13">
        <f>'[1]Materials Properties'!$B$8*'[1]Materials Properties'!$B$9^3/12</f>
        <v>2500</v>
      </c>
      <c r="C15" s="14">
        <f>A15*'[1]Materials Properties'!$B$7</f>
        <v>50000</v>
      </c>
      <c r="D15" s="13">
        <f>C15*('[1]Materials Properties'!$B$9/2)/B15</f>
        <v>100</v>
      </c>
      <c r="E15" s="15">
        <f>A15*'[1]Materials Properties'!$B$7^3/(3*'[1]Materials Properties'!$B$2*B15)</f>
        <v>8.3333333333333339</v>
      </c>
      <c r="F15" s="13">
        <f>'[1]Materials Properties'!$C$2/D15</f>
        <v>2.5</v>
      </c>
    </row>
    <row r="16" spans="1:6" x14ac:dyDescent="0.3">
      <c r="A16" s="12">
        <v>110</v>
      </c>
      <c r="B16" s="13">
        <f>'[1]Materials Properties'!$B$8*'[1]Materials Properties'!$B$9^3/12</f>
        <v>2500</v>
      </c>
      <c r="C16" s="14">
        <f>A16*'[1]Materials Properties'!$B$7</f>
        <v>55000</v>
      </c>
      <c r="D16" s="13">
        <f>C16*('[1]Materials Properties'!$B$9/2)/B16</f>
        <v>110</v>
      </c>
      <c r="E16" s="15">
        <f>A16*'[1]Materials Properties'!$B$7^3/(3*'[1]Materials Properties'!$B$2*B16)</f>
        <v>9.1666666666666661</v>
      </c>
      <c r="F16" s="13">
        <f>'[1]Materials Properties'!$C$2/D16</f>
        <v>2.2727272727272729</v>
      </c>
    </row>
    <row r="17" spans="1:6" x14ac:dyDescent="0.3">
      <c r="A17" s="12">
        <v>120</v>
      </c>
      <c r="B17" s="13">
        <f>'[1]Materials Properties'!$B$8*'[1]Materials Properties'!$B$9^3/12</f>
        <v>2500</v>
      </c>
      <c r="C17" s="14">
        <f>A17*'[1]Materials Properties'!$B$7</f>
        <v>60000</v>
      </c>
      <c r="D17" s="13">
        <f>C17*('[1]Materials Properties'!$B$9/2)/B17</f>
        <v>120</v>
      </c>
      <c r="E17" s="15">
        <f>A17*'[1]Materials Properties'!$B$7^3/(3*'[1]Materials Properties'!$B$2*B17)</f>
        <v>10</v>
      </c>
      <c r="F17" s="13">
        <f>'[1]Materials Properties'!$C$2/D17</f>
        <v>2.0833333333333335</v>
      </c>
    </row>
    <row r="18" spans="1:6" x14ac:dyDescent="0.3">
      <c r="A18" s="12">
        <v>130</v>
      </c>
      <c r="B18" s="13">
        <f>'[1]Materials Properties'!$B$8*'[1]Materials Properties'!$B$9^3/12</f>
        <v>2500</v>
      </c>
      <c r="C18" s="14">
        <f>A18*'[1]Materials Properties'!$B$7</f>
        <v>65000</v>
      </c>
      <c r="D18" s="13">
        <f>C18*('[1]Materials Properties'!$B$9/2)/B18</f>
        <v>130</v>
      </c>
      <c r="E18" s="15">
        <f>A18*'[1]Materials Properties'!$B$7^3/(3*'[1]Materials Properties'!$B$2*B18)</f>
        <v>10.833333333333334</v>
      </c>
      <c r="F18" s="13">
        <f>'[1]Materials Properties'!$C$2/D18</f>
        <v>1.9230769230769231</v>
      </c>
    </row>
    <row r="19" spans="1:6" x14ac:dyDescent="0.3">
      <c r="A19" s="12">
        <v>140</v>
      </c>
      <c r="B19" s="13">
        <f>'[1]Materials Properties'!$B$8*'[1]Materials Properties'!$B$9^3/12</f>
        <v>2500</v>
      </c>
      <c r="C19" s="14">
        <f>A19*'[1]Materials Properties'!$B$7</f>
        <v>70000</v>
      </c>
      <c r="D19" s="13">
        <f>C19*('[1]Materials Properties'!$B$9/2)/B19</f>
        <v>140</v>
      </c>
      <c r="E19" s="15">
        <f>A19*'[1]Materials Properties'!$B$7^3/(3*'[1]Materials Properties'!$B$2*B19)</f>
        <v>11.666666666666666</v>
      </c>
      <c r="F19" s="13">
        <f>'[1]Materials Properties'!$C$2/D19</f>
        <v>1.7857142857142858</v>
      </c>
    </row>
    <row r="20" spans="1:6" x14ac:dyDescent="0.3">
      <c r="A20" s="12">
        <v>150</v>
      </c>
      <c r="B20" s="13">
        <f>'[1]Materials Properties'!$B$8*'[1]Materials Properties'!$B$9^3/12</f>
        <v>2500</v>
      </c>
      <c r="C20" s="14">
        <f>A20*'[1]Materials Properties'!$B$7</f>
        <v>75000</v>
      </c>
      <c r="D20" s="13">
        <f>C20*('[1]Materials Properties'!$B$9/2)/B20</f>
        <v>150</v>
      </c>
      <c r="E20" s="15">
        <f>A20*'[1]Materials Properties'!$B$7^3/(3*'[1]Materials Properties'!$B$2*B20)</f>
        <v>12.5</v>
      </c>
      <c r="F20" s="13">
        <f>'[1]Materials Properties'!$C$2/D20</f>
        <v>1.6666666666666667</v>
      </c>
    </row>
    <row r="21" spans="1:6" x14ac:dyDescent="0.3">
      <c r="A21" s="12">
        <v>160</v>
      </c>
      <c r="B21" s="13">
        <f>'[1]Materials Properties'!$B$8*'[1]Materials Properties'!$B$9^3/12</f>
        <v>2500</v>
      </c>
      <c r="C21" s="14">
        <f>A21*'[1]Materials Properties'!$B$7</f>
        <v>80000</v>
      </c>
      <c r="D21" s="13">
        <f>C21*('[1]Materials Properties'!$B$9/2)/B21</f>
        <v>160</v>
      </c>
      <c r="E21" s="15">
        <f>A21*'[1]Materials Properties'!$B$7^3/(3*'[1]Materials Properties'!$B$2*B21)</f>
        <v>13.333333333333334</v>
      </c>
      <c r="F21" s="13">
        <f>'[1]Materials Properties'!$C$2/D21</f>
        <v>1.5625</v>
      </c>
    </row>
    <row r="22" spans="1:6" x14ac:dyDescent="0.3">
      <c r="A22" s="12">
        <v>170</v>
      </c>
      <c r="B22" s="13">
        <f>'[1]Materials Properties'!$B$8*'[1]Materials Properties'!$B$9^3/12</f>
        <v>2500</v>
      </c>
      <c r="C22" s="14">
        <f>A22*'[1]Materials Properties'!$B$7</f>
        <v>85000</v>
      </c>
      <c r="D22" s="13">
        <f>C22*('[1]Materials Properties'!$B$9/2)/B22</f>
        <v>170</v>
      </c>
      <c r="E22" s="15">
        <f>A22*'[1]Materials Properties'!$B$7^3/(3*'[1]Materials Properties'!$B$2*B22)</f>
        <v>14.166666666666666</v>
      </c>
      <c r="F22" s="13">
        <f>'[1]Materials Properties'!$C$2/D22</f>
        <v>1.4705882352941178</v>
      </c>
    </row>
    <row r="23" spans="1:6" x14ac:dyDescent="0.3">
      <c r="A23" s="12">
        <v>180</v>
      </c>
      <c r="B23" s="13">
        <f>'[1]Materials Properties'!$B$8*'[1]Materials Properties'!$B$9^3/12</f>
        <v>2500</v>
      </c>
      <c r="C23" s="14">
        <f>A23*'[1]Materials Properties'!$B$7</f>
        <v>90000</v>
      </c>
      <c r="D23" s="13">
        <f>C23*('[1]Materials Properties'!$B$9/2)/B23</f>
        <v>180</v>
      </c>
      <c r="E23" s="15">
        <f>A23*'[1]Materials Properties'!$B$7^3/(3*'[1]Materials Properties'!$B$2*B23)</f>
        <v>15</v>
      </c>
      <c r="F23" s="13">
        <f>'[1]Materials Properties'!$C$2/D23</f>
        <v>1.3888888888888888</v>
      </c>
    </row>
    <row r="24" spans="1:6" x14ac:dyDescent="0.3">
      <c r="A24" s="12">
        <v>190</v>
      </c>
      <c r="B24" s="13">
        <f>'[1]Materials Properties'!$B$8*'[1]Materials Properties'!$B$9^3/12</f>
        <v>2500</v>
      </c>
      <c r="C24" s="14">
        <f>A24*'[1]Materials Properties'!$B$7</f>
        <v>95000</v>
      </c>
      <c r="D24" s="13">
        <f>C24*('[1]Materials Properties'!$B$9/2)/B24</f>
        <v>190</v>
      </c>
      <c r="E24" s="15">
        <f>A24*'[1]Materials Properties'!$B$7^3/(3*'[1]Materials Properties'!$B$2*B24)</f>
        <v>15.833333333333334</v>
      </c>
      <c r="F24" s="13">
        <f>'[1]Materials Properties'!$C$2/D24</f>
        <v>1.3157894736842106</v>
      </c>
    </row>
    <row r="25" spans="1:6" x14ac:dyDescent="0.3">
      <c r="A25" s="12">
        <v>200</v>
      </c>
      <c r="B25" s="13">
        <f>'[1]Materials Properties'!$B$8*'[1]Materials Properties'!$B$9^3/12</f>
        <v>2500</v>
      </c>
      <c r="C25" s="14">
        <f>A25*'[1]Materials Properties'!$B$7</f>
        <v>100000</v>
      </c>
      <c r="D25" s="13">
        <f>C25*('[1]Materials Properties'!$B$9/2)/B25</f>
        <v>200</v>
      </c>
      <c r="E25" s="15">
        <f>A25*'[1]Materials Properties'!$B$7^3/(3*'[1]Materials Properties'!$B$2*B25)</f>
        <v>16.666666666666668</v>
      </c>
      <c r="F25" s="13">
        <f>'[1]Materials Properties'!$C$2/D25</f>
        <v>1.25</v>
      </c>
    </row>
    <row r="27" spans="1:6" x14ac:dyDescent="0.3">
      <c r="A27" s="16" t="s">
        <v>20</v>
      </c>
      <c r="B27" s="8"/>
      <c r="C27" s="8"/>
      <c r="D27" s="8"/>
      <c r="E27" s="8"/>
      <c r="F27" s="8"/>
    </row>
    <row r="28" spans="1:6" x14ac:dyDescent="0.3">
      <c r="A28" s="4" t="s">
        <v>19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11</v>
      </c>
    </row>
    <row r="29" spans="1:6" x14ac:dyDescent="0.3">
      <c r="A29" s="12">
        <v>10</v>
      </c>
      <c r="B29" s="13">
        <f>'[1]Materials Properties'!$B$8*'[1]Materials Properties'!$B$9^3/12</f>
        <v>2500</v>
      </c>
      <c r="C29" s="14">
        <f>A29*'[1]Materials Properties'!$B$7</f>
        <v>5000</v>
      </c>
      <c r="D29" s="13">
        <f>C29*('[1]Materials Properties'!$B$9/2)/B29</f>
        <v>10</v>
      </c>
      <c r="E29" s="15">
        <f>A29*'[1]Materials Properties'!$B$7^3/(3*'[1]Materials Properties'!$B$3*B29)</f>
        <v>2.4154589371980677</v>
      </c>
      <c r="F29" s="13">
        <f>'[1]Materials Properties'!$C$3/D29</f>
        <v>27.6</v>
      </c>
    </row>
    <row r="30" spans="1:6" x14ac:dyDescent="0.3">
      <c r="A30" s="12">
        <v>20</v>
      </c>
      <c r="B30" s="13">
        <f>'[1]Materials Properties'!$B$8*'[1]Materials Properties'!$B$9^3/12</f>
        <v>2500</v>
      </c>
      <c r="C30" s="14">
        <f>A30*'[1]Materials Properties'!$B$7</f>
        <v>10000</v>
      </c>
      <c r="D30" s="13">
        <f>C30*('[1]Materials Properties'!$B$9/2)/B30</f>
        <v>20</v>
      </c>
      <c r="E30" s="15">
        <f>A30*'[1]Materials Properties'!$B$7^3/(3*'[1]Materials Properties'!$B$3*B30)</f>
        <v>4.8309178743961354</v>
      </c>
      <c r="F30" s="13">
        <f>'[1]Materials Properties'!$C$3/D30</f>
        <v>13.8</v>
      </c>
    </row>
    <row r="31" spans="1:6" x14ac:dyDescent="0.3">
      <c r="A31" s="12">
        <v>30</v>
      </c>
      <c r="B31" s="13">
        <f>'[1]Materials Properties'!$B$8*'[1]Materials Properties'!$B$9^3/12</f>
        <v>2500</v>
      </c>
      <c r="C31" s="14">
        <f>A31*'[1]Materials Properties'!$B$7</f>
        <v>15000</v>
      </c>
      <c r="D31" s="13">
        <f>C31*('[1]Materials Properties'!$B$9/2)/B31</f>
        <v>30</v>
      </c>
      <c r="E31" s="15">
        <f>A31*'[1]Materials Properties'!$B$7^3/(3*'[1]Materials Properties'!$B$3*B31)</f>
        <v>7.2463768115942031</v>
      </c>
      <c r="F31" s="13">
        <f>'[1]Materials Properties'!$C$3/D31</f>
        <v>9.1999999999999993</v>
      </c>
    </row>
    <row r="32" spans="1:6" x14ac:dyDescent="0.3">
      <c r="A32" s="12">
        <v>40</v>
      </c>
      <c r="B32" s="13">
        <f>'[1]Materials Properties'!$B$8*'[1]Materials Properties'!$B$9^3/12</f>
        <v>2500</v>
      </c>
      <c r="C32" s="14">
        <f>A32*'[1]Materials Properties'!$B$7</f>
        <v>20000</v>
      </c>
      <c r="D32" s="13">
        <f>C32*('[1]Materials Properties'!$B$9/2)/B32</f>
        <v>40</v>
      </c>
      <c r="E32" s="15">
        <f>A32*'[1]Materials Properties'!$B$7^3/(3*'[1]Materials Properties'!$B$3*B32)</f>
        <v>9.6618357487922708</v>
      </c>
      <c r="F32" s="13">
        <f>'[1]Materials Properties'!$C$3/D32</f>
        <v>6.9</v>
      </c>
    </row>
    <row r="33" spans="1:6" x14ac:dyDescent="0.3">
      <c r="A33" s="12">
        <v>50</v>
      </c>
      <c r="B33" s="13">
        <f>'[1]Materials Properties'!$B$8*'[1]Materials Properties'!$B$9^3/12</f>
        <v>2500</v>
      </c>
      <c r="C33" s="14">
        <f>A33*'[1]Materials Properties'!$B$7</f>
        <v>25000</v>
      </c>
      <c r="D33" s="13">
        <f>C33*('[1]Materials Properties'!$B$9/2)/B33</f>
        <v>50</v>
      </c>
      <c r="E33" s="15">
        <f>A33*'[1]Materials Properties'!$B$7^3/(3*'[1]Materials Properties'!$B$3*B33)</f>
        <v>12.077294685990339</v>
      </c>
      <c r="F33" s="13">
        <f>'[1]Materials Properties'!$C$3/D33</f>
        <v>5.52</v>
      </c>
    </row>
    <row r="34" spans="1:6" x14ac:dyDescent="0.3">
      <c r="A34" s="12">
        <v>60</v>
      </c>
      <c r="B34" s="13">
        <f>'[1]Materials Properties'!$B$8*'[1]Materials Properties'!$B$9^3/12</f>
        <v>2500</v>
      </c>
      <c r="C34" s="14">
        <f>A34*'[1]Materials Properties'!$B$7</f>
        <v>30000</v>
      </c>
      <c r="D34" s="13">
        <f>C34*('[1]Materials Properties'!$B$9/2)/B34</f>
        <v>60</v>
      </c>
      <c r="E34" s="15">
        <f>A34*'[1]Materials Properties'!$B$7^3/(3*'[1]Materials Properties'!$B$3*B34)</f>
        <v>14.492753623188406</v>
      </c>
      <c r="F34" s="13">
        <f>'[1]Materials Properties'!$C$3/D34</f>
        <v>4.5999999999999996</v>
      </c>
    </row>
    <row r="35" spans="1:6" x14ac:dyDescent="0.3">
      <c r="A35" s="12">
        <v>70</v>
      </c>
      <c r="B35" s="13">
        <f>'[1]Materials Properties'!$B$8*'[1]Materials Properties'!$B$9^3/12</f>
        <v>2500</v>
      </c>
      <c r="C35" s="14">
        <f>A35*'[1]Materials Properties'!$B$7</f>
        <v>35000</v>
      </c>
      <c r="D35" s="13">
        <f>C35*('[1]Materials Properties'!$B$9/2)/B35</f>
        <v>70</v>
      </c>
      <c r="E35" s="15">
        <f>A35*'[1]Materials Properties'!$B$7^3/(3*'[1]Materials Properties'!$B$3*B35)</f>
        <v>16.908212560386474</v>
      </c>
      <c r="F35" s="13">
        <f>'[1]Materials Properties'!$C$3/D35</f>
        <v>3.9428571428571431</v>
      </c>
    </row>
    <row r="36" spans="1:6" x14ac:dyDescent="0.3">
      <c r="A36" s="12">
        <v>80</v>
      </c>
      <c r="B36" s="13">
        <f>'[1]Materials Properties'!$B$8*'[1]Materials Properties'!$B$9^3/12</f>
        <v>2500</v>
      </c>
      <c r="C36" s="14">
        <f>A36*'[1]Materials Properties'!$B$7</f>
        <v>40000</v>
      </c>
      <c r="D36" s="13">
        <f>C36*('[1]Materials Properties'!$B$9/2)/B36</f>
        <v>80</v>
      </c>
      <c r="E36" s="15">
        <f>A36*'[1]Materials Properties'!$B$7^3/(3*'[1]Materials Properties'!$B$3*B36)</f>
        <v>19.323671497584542</v>
      </c>
      <c r="F36" s="13">
        <f>'[1]Materials Properties'!$C$3/D36</f>
        <v>3.45</v>
      </c>
    </row>
    <row r="37" spans="1:6" x14ac:dyDescent="0.3">
      <c r="A37" s="12">
        <v>90</v>
      </c>
      <c r="B37" s="13">
        <f>'[1]Materials Properties'!$B$8*'[1]Materials Properties'!$B$9^3/12</f>
        <v>2500</v>
      </c>
      <c r="C37" s="14">
        <f>A37*'[1]Materials Properties'!$B$7</f>
        <v>45000</v>
      </c>
      <c r="D37" s="13">
        <f>C37*('[1]Materials Properties'!$B$9/2)/B37</f>
        <v>90</v>
      </c>
      <c r="E37" s="15">
        <f>A37*'[1]Materials Properties'!$B$7^3/(3*'[1]Materials Properties'!$B$3*B37)</f>
        <v>21.739130434782609</v>
      </c>
      <c r="F37" s="13">
        <f>'[1]Materials Properties'!$C$3/D37</f>
        <v>3.0666666666666669</v>
      </c>
    </row>
    <row r="38" spans="1:6" x14ac:dyDescent="0.3">
      <c r="A38" s="12">
        <v>100</v>
      </c>
      <c r="B38" s="13">
        <f>'[1]Materials Properties'!$B$8*'[1]Materials Properties'!$B$9^3/12</f>
        <v>2500</v>
      </c>
      <c r="C38" s="14">
        <f>A38*'[1]Materials Properties'!$B$7</f>
        <v>50000</v>
      </c>
      <c r="D38" s="13">
        <f>C38*('[1]Materials Properties'!$B$9/2)/B38</f>
        <v>100</v>
      </c>
      <c r="E38" s="15">
        <f>A38*'[1]Materials Properties'!$B$7^3/(3*'[1]Materials Properties'!$B$3*B38)</f>
        <v>24.154589371980677</v>
      </c>
      <c r="F38" s="13">
        <f>'[1]Materials Properties'!$C$3/D38</f>
        <v>2.76</v>
      </c>
    </row>
    <row r="39" spans="1:6" x14ac:dyDescent="0.3">
      <c r="A39" s="12">
        <v>110</v>
      </c>
      <c r="B39" s="13">
        <f>'[1]Materials Properties'!$B$8*'[1]Materials Properties'!$B$9^3/12</f>
        <v>2500</v>
      </c>
      <c r="C39" s="14">
        <f>A39*'[1]Materials Properties'!$B$7</f>
        <v>55000</v>
      </c>
      <c r="D39" s="13">
        <f>C39*('[1]Materials Properties'!$B$9/2)/B39</f>
        <v>110</v>
      </c>
      <c r="E39" s="15">
        <f>A39*'[1]Materials Properties'!$B$7^3/(3*'[1]Materials Properties'!$B$3*B39)</f>
        <v>26.570048309178745</v>
      </c>
      <c r="F39" s="13">
        <f>'[1]Materials Properties'!$C$3/D39</f>
        <v>2.5090909090909093</v>
      </c>
    </row>
    <row r="40" spans="1:6" x14ac:dyDescent="0.3">
      <c r="A40" s="12">
        <v>120</v>
      </c>
      <c r="B40" s="13">
        <f>'[1]Materials Properties'!$B$8*'[1]Materials Properties'!$B$9^3/12</f>
        <v>2500</v>
      </c>
      <c r="C40" s="14">
        <f>A40*'[1]Materials Properties'!$B$7</f>
        <v>60000</v>
      </c>
      <c r="D40" s="13">
        <f>C40*('[1]Materials Properties'!$B$9/2)/B40</f>
        <v>120</v>
      </c>
      <c r="E40" s="15">
        <f>A40*'[1]Materials Properties'!$B$7^3/(3*'[1]Materials Properties'!$B$3*B40)</f>
        <v>28.985507246376812</v>
      </c>
      <c r="F40" s="13">
        <f>'[1]Materials Properties'!$C$3/D40</f>
        <v>2.2999999999999998</v>
      </c>
    </row>
    <row r="41" spans="1:6" x14ac:dyDescent="0.3">
      <c r="A41" s="12">
        <v>130</v>
      </c>
      <c r="B41" s="13">
        <f>'[1]Materials Properties'!$B$8*'[1]Materials Properties'!$B$9^3/12</f>
        <v>2500</v>
      </c>
      <c r="C41" s="14">
        <f>A41*'[1]Materials Properties'!$B$7</f>
        <v>65000</v>
      </c>
      <c r="D41" s="13">
        <f>C41*('[1]Materials Properties'!$B$9/2)/B41</f>
        <v>130</v>
      </c>
      <c r="E41" s="15">
        <f>A41*'[1]Materials Properties'!$B$7^3/(3*'[1]Materials Properties'!$B$3*B41)</f>
        <v>31.40096618357488</v>
      </c>
      <c r="F41" s="13">
        <f>'[1]Materials Properties'!$C$3/D41</f>
        <v>2.1230769230769231</v>
      </c>
    </row>
    <row r="42" spans="1:6" x14ac:dyDescent="0.3">
      <c r="A42" s="12">
        <v>140</v>
      </c>
      <c r="B42" s="13">
        <f>'[1]Materials Properties'!$B$8*'[1]Materials Properties'!$B$9^3/12</f>
        <v>2500</v>
      </c>
      <c r="C42" s="14">
        <f>A42*'[1]Materials Properties'!$B$7</f>
        <v>70000</v>
      </c>
      <c r="D42" s="13">
        <f>C42*('[1]Materials Properties'!$B$9/2)/B42</f>
        <v>140</v>
      </c>
      <c r="E42" s="15">
        <f>A42*'[1]Materials Properties'!$B$7^3/(3*'[1]Materials Properties'!$B$3*B42)</f>
        <v>33.816425120772948</v>
      </c>
      <c r="F42" s="13">
        <f>'[1]Materials Properties'!$C$3/D42</f>
        <v>1.9714285714285715</v>
      </c>
    </row>
    <row r="43" spans="1:6" x14ac:dyDescent="0.3">
      <c r="A43" s="12">
        <v>150</v>
      </c>
      <c r="B43" s="13">
        <f>'[1]Materials Properties'!$B$8*'[1]Materials Properties'!$B$9^3/12</f>
        <v>2500</v>
      </c>
      <c r="C43" s="14">
        <f>A43*'[1]Materials Properties'!$B$7</f>
        <v>75000</v>
      </c>
      <c r="D43" s="13">
        <f>C43*('[1]Materials Properties'!$B$9/2)/B43</f>
        <v>150</v>
      </c>
      <c r="E43" s="15">
        <f>A43*'[1]Materials Properties'!$B$7^3/(3*'[1]Materials Properties'!$B$3*B43)</f>
        <v>36.231884057971016</v>
      </c>
      <c r="F43" s="13">
        <f>'[1]Materials Properties'!$C$3/D43</f>
        <v>1.84</v>
      </c>
    </row>
    <row r="44" spans="1:6" x14ac:dyDescent="0.3">
      <c r="A44" s="12">
        <v>160</v>
      </c>
      <c r="B44" s="13">
        <f>'[1]Materials Properties'!$B$8*'[1]Materials Properties'!$B$9^3/12</f>
        <v>2500</v>
      </c>
      <c r="C44" s="14">
        <f>A44*'[1]Materials Properties'!$B$7</f>
        <v>80000</v>
      </c>
      <c r="D44" s="13">
        <f>C44*('[1]Materials Properties'!$B$9/2)/B44</f>
        <v>160</v>
      </c>
      <c r="E44" s="15">
        <f>A44*'[1]Materials Properties'!$B$7^3/(3*'[1]Materials Properties'!$B$3*B44)</f>
        <v>38.647342995169083</v>
      </c>
      <c r="F44" s="13">
        <f>'[1]Materials Properties'!$C$3/D44</f>
        <v>1.7250000000000001</v>
      </c>
    </row>
    <row r="45" spans="1:6" x14ac:dyDescent="0.3">
      <c r="A45" s="12">
        <v>170</v>
      </c>
      <c r="B45" s="13">
        <f>'[1]Materials Properties'!$B$8*'[1]Materials Properties'!$B$9^3/12</f>
        <v>2500</v>
      </c>
      <c r="C45" s="14">
        <f>A45*'[1]Materials Properties'!$B$7</f>
        <v>85000</v>
      </c>
      <c r="D45" s="13">
        <f>C45*('[1]Materials Properties'!$B$9/2)/B45</f>
        <v>170</v>
      </c>
      <c r="E45" s="15">
        <f>A45*'[1]Materials Properties'!$B$7^3/(3*'[1]Materials Properties'!$B$3*B45)</f>
        <v>41.062801932367151</v>
      </c>
      <c r="F45" s="13">
        <f>'[1]Materials Properties'!$C$3/D45</f>
        <v>1.6235294117647059</v>
      </c>
    </row>
    <row r="46" spans="1:6" x14ac:dyDescent="0.3">
      <c r="A46" s="12">
        <v>180</v>
      </c>
      <c r="B46" s="13">
        <f>'[1]Materials Properties'!$B$8*'[1]Materials Properties'!$B$9^3/12</f>
        <v>2500</v>
      </c>
      <c r="C46" s="14">
        <f>A46*'[1]Materials Properties'!$B$7</f>
        <v>90000</v>
      </c>
      <c r="D46" s="13">
        <f>C46*('[1]Materials Properties'!$B$9/2)/B46</f>
        <v>180</v>
      </c>
      <c r="E46" s="15">
        <f>A46*'[1]Materials Properties'!$B$7^3/(3*'[1]Materials Properties'!$B$3*B46)</f>
        <v>43.478260869565219</v>
      </c>
      <c r="F46" s="13">
        <f>'[1]Materials Properties'!$C$3/D46</f>
        <v>1.5333333333333334</v>
      </c>
    </row>
    <row r="47" spans="1:6" x14ac:dyDescent="0.3">
      <c r="A47" s="12">
        <v>190</v>
      </c>
      <c r="B47" s="13">
        <f>'[1]Materials Properties'!$B$8*'[1]Materials Properties'!$B$9^3/12</f>
        <v>2500</v>
      </c>
      <c r="C47" s="14">
        <f>A47*'[1]Materials Properties'!$B$7</f>
        <v>95000</v>
      </c>
      <c r="D47" s="13">
        <f>C47*('[1]Materials Properties'!$B$9/2)/B47</f>
        <v>190</v>
      </c>
      <c r="E47" s="15">
        <f>A47*'[1]Materials Properties'!$B$7^3/(3*'[1]Materials Properties'!$B$3*B47)</f>
        <v>45.893719806763286</v>
      </c>
      <c r="F47" s="13">
        <f>'[1]Materials Properties'!$C$3/D47</f>
        <v>1.4526315789473685</v>
      </c>
    </row>
    <row r="48" spans="1:6" x14ac:dyDescent="0.3">
      <c r="A48" s="12">
        <v>200</v>
      </c>
      <c r="B48" s="13">
        <f>'[1]Materials Properties'!$B$8*'[1]Materials Properties'!$B$9^3/12</f>
        <v>2500</v>
      </c>
      <c r="C48" s="14">
        <f>A48*'[1]Materials Properties'!$B$7</f>
        <v>100000</v>
      </c>
      <c r="D48" s="13">
        <f>C48*('[1]Materials Properties'!$B$9/2)/B48</f>
        <v>200</v>
      </c>
      <c r="E48" s="15">
        <f>A48*'[1]Materials Properties'!$B$7^3/(3*'[1]Materials Properties'!$B$3*B48)</f>
        <v>48.309178743961354</v>
      </c>
      <c r="F48" s="13">
        <f>'[1]Materials Properties'!$C$3/D48</f>
        <v>1.38</v>
      </c>
    </row>
    <row r="50" spans="1:6" x14ac:dyDescent="0.3">
      <c r="A50" s="17" t="s">
        <v>21</v>
      </c>
      <c r="B50" s="8"/>
      <c r="C50" s="8"/>
      <c r="D50" s="8"/>
      <c r="E50" s="8"/>
      <c r="F50" s="8"/>
    </row>
    <row r="51" spans="1:6" x14ac:dyDescent="0.3">
      <c r="A51" s="4" t="s">
        <v>19</v>
      </c>
      <c r="B51" s="4" t="s">
        <v>12</v>
      </c>
      <c r="C51" s="4" t="s">
        <v>13</v>
      </c>
      <c r="D51" s="4" t="s">
        <v>14</v>
      </c>
      <c r="E51" s="4" t="s">
        <v>15</v>
      </c>
      <c r="F51" s="4" t="s">
        <v>11</v>
      </c>
    </row>
    <row r="52" spans="1:6" x14ac:dyDescent="0.3">
      <c r="A52" s="12">
        <v>10</v>
      </c>
      <c r="B52" s="13">
        <f>'[1]Materials Properties'!$B$8*'[1]Materials Properties'!$B$9^3/12</f>
        <v>2500</v>
      </c>
      <c r="C52" s="14">
        <f>A52*'[1]Materials Properties'!$B$7</f>
        <v>5000</v>
      </c>
      <c r="D52" s="13">
        <f>C52*('[1]Materials Properties'!$B$9/2)/B52</f>
        <v>10</v>
      </c>
      <c r="E52" s="15">
        <f>A52*'[1]Materials Properties'!$B$7^3/(3*'[1]Materials Properties'!$B$4*B52)</f>
        <v>1.4245014245014245</v>
      </c>
      <c r="F52" s="13">
        <f>'[1]Materials Properties'!$C$4/D52</f>
        <v>7</v>
      </c>
    </row>
    <row r="53" spans="1:6" x14ac:dyDescent="0.3">
      <c r="A53" s="12">
        <v>20</v>
      </c>
      <c r="B53" s="13">
        <f>'[1]Materials Properties'!$B$8*'[1]Materials Properties'!$B$9^3/12</f>
        <v>2500</v>
      </c>
      <c r="C53" s="14">
        <f>A53*'[1]Materials Properties'!$B$7</f>
        <v>10000</v>
      </c>
      <c r="D53" s="13">
        <f>C53*('[1]Materials Properties'!$B$9/2)/B53</f>
        <v>20</v>
      </c>
      <c r="E53" s="15">
        <f>A53*'[1]Materials Properties'!$B$7^3/(3*'[1]Materials Properties'!$B$4*B53)</f>
        <v>2.8490028490028489</v>
      </c>
      <c r="F53" s="13">
        <f>'[1]Materials Properties'!$C$4/D53</f>
        <v>3.5</v>
      </c>
    </row>
    <row r="54" spans="1:6" x14ac:dyDescent="0.3">
      <c r="A54" s="12">
        <v>30</v>
      </c>
      <c r="B54" s="13">
        <f>'[1]Materials Properties'!$B$8*'[1]Materials Properties'!$B$9^3/12</f>
        <v>2500</v>
      </c>
      <c r="C54" s="14">
        <f>A54*'[1]Materials Properties'!$B$7</f>
        <v>15000</v>
      </c>
      <c r="D54" s="13">
        <f>C54*('[1]Materials Properties'!$B$9/2)/B54</f>
        <v>30</v>
      </c>
      <c r="E54" s="15">
        <f>A54*'[1]Materials Properties'!$B$7^3/(3*'[1]Materials Properties'!$B$4*B54)</f>
        <v>4.2735042735042734</v>
      </c>
      <c r="F54" s="13">
        <f>'[1]Materials Properties'!$C$4/D54</f>
        <v>2.3333333333333335</v>
      </c>
    </row>
    <row r="55" spans="1:6" x14ac:dyDescent="0.3">
      <c r="A55" s="12">
        <v>40</v>
      </c>
      <c r="B55" s="13">
        <f>'[1]Materials Properties'!$B$8*'[1]Materials Properties'!$B$9^3/12</f>
        <v>2500</v>
      </c>
      <c r="C55" s="14">
        <f>A55*'[1]Materials Properties'!$B$7</f>
        <v>20000</v>
      </c>
      <c r="D55" s="13">
        <f>C55*('[1]Materials Properties'!$B$9/2)/B55</f>
        <v>40</v>
      </c>
      <c r="E55" s="15">
        <f>A55*'[1]Materials Properties'!$B$7^3/(3*'[1]Materials Properties'!$B$4*B55)</f>
        <v>5.6980056980056979</v>
      </c>
      <c r="F55" s="13">
        <f>'[1]Materials Properties'!$C$4/D55</f>
        <v>1.75</v>
      </c>
    </row>
    <row r="56" spans="1:6" x14ac:dyDescent="0.3">
      <c r="A56" s="12">
        <v>50</v>
      </c>
      <c r="B56" s="13">
        <f>'[1]Materials Properties'!$B$8*'[1]Materials Properties'!$B$9^3/12</f>
        <v>2500</v>
      </c>
      <c r="C56" s="14">
        <f>A56*'[1]Materials Properties'!$B$7</f>
        <v>25000</v>
      </c>
      <c r="D56" s="13">
        <f>C56*('[1]Materials Properties'!$B$9/2)/B56</f>
        <v>50</v>
      </c>
      <c r="E56" s="15">
        <f>A56*'[1]Materials Properties'!$B$7^3/(3*'[1]Materials Properties'!$B$4*B56)</f>
        <v>7.1225071225071224</v>
      </c>
      <c r="F56" s="13">
        <f>'[1]Materials Properties'!$C$4/D56</f>
        <v>1.4</v>
      </c>
    </row>
    <row r="57" spans="1:6" x14ac:dyDescent="0.3">
      <c r="A57" s="12">
        <v>60</v>
      </c>
      <c r="B57" s="13">
        <f>'[1]Materials Properties'!$B$8*'[1]Materials Properties'!$B$9^3/12</f>
        <v>2500</v>
      </c>
      <c r="C57" s="14">
        <f>A57*'[1]Materials Properties'!$B$7</f>
        <v>30000</v>
      </c>
      <c r="D57" s="13">
        <f>C57*('[1]Materials Properties'!$B$9/2)/B57</f>
        <v>60</v>
      </c>
      <c r="E57" s="15">
        <f>A57*'[1]Materials Properties'!$B$7^3/(3*'[1]Materials Properties'!$B$4*B57)</f>
        <v>8.5470085470085468</v>
      </c>
      <c r="F57" s="13">
        <f>'[1]Materials Properties'!$C$4/D57</f>
        <v>1.1666666666666667</v>
      </c>
    </row>
    <row r="58" spans="1:6" x14ac:dyDescent="0.3">
      <c r="A58" s="12">
        <v>70</v>
      </c>
      <c r="B58" s="13">
        <f>'[1]Materials Properties'!$B$8*'[1]Materials Properties'!$B$9^3/12</f>
        <v>2500</v>
      </c>
      <c r="C58" s="14">
        <f>A58*'[1]Materials Properties'!$B$7</f>
        <v>35000</v>
      </c>
      <c r="D58" s="13">
        <f>C58*('[1]Materials Properties'!$B$9/2)/B58</f>
        <v>70</v>
      </c>
      <c r="E58" s="15">
        <f>A58*'[1]Materials Properties'!$B$7^3/(3*'[1]Materials Properties'!$B$4*B58)</f>
        <v>9.9715099715099722</v>
      </c>
      <c r="F58" s="13">
        <f>'[1]Materials Properties'!$C$4/D58</f>
        <v>1</v>
      </c>
    </row>
    <row r="59" spans="1:6" x14ac:dyDescent="0.3">
      <c r="A59" s="12">
        <v>80</v>
      </c>
      <c r="B59" s="13">
        <f>'[1]Materials Properties'!$B$8*'[1]Materials Properties'!$B$9^3/12</f>
        <v>2500</v>
      </c>
      <c r="C59" s="14">
        <f>A59*'[1]Materials Properties'!$B$7</f>
        <v>40000</v>
      </c>
      <c r="D59" s="13">
        <f>C59*('[1]Materials Properties'!$B$9/2)/B59</f>
        <v>80</v>
      </c>
      <c r="E59" s="15">
        <f>A59*'[1]Materials Properties'!$B$7^3/(3*'[1]Materials Properties'!$B$4*B59)</f>
        <v>11.396011396011396</v>
      </c>
      <c r="F59" s="13">
        <f>'[1]Materials Properties'!$C$4/D59</f>
        <v>0.875</v>
      </c>
    </row>
    <row r="60" spans="1:6" x14ac:dyDescent="0.3">
      <c r="A60" s="12">
        <v>90</v>
      </c>
      <c r="B60" s="13">
        <f>'[1]Materials Properties'!$B$8*'[1]Materials Properties'!$B$9^3/12</f>
        <v>2500</v>
      </c>
      <c r="C60" s="14">
        <f>A60*'[1]Materials Properties'!$B$7</f>
        <v>45000</v>
      </c>
      <c r="D60" s="13">
        <f>C60*('[1]Materials Properties'!$B$9/2)/B60</f>
        <v>90</v>
      </c>
      <c r="E60" s="15">
        <f>A60*'[1]Materials Properties'!$B$7^3/(3*'[1]Materials Properties'!$B$4*B60)</f>
        <v>12.820512820512821</v>
      </c>
      <c r="F60" s="13">
        <f>'[1]Materials Properties'!$C$4/D60</f>
        <v>0.77777777777777779</v>
      </c>
    </row>
    <row r="61" spans="1:6" x14ac:dyDescent="0.3">
      <c r="A61" s="12">
        <v>100</v>
      </c>
      <c r="B61" s="13">
        <f>'[1]Materials Properties'!$B$8*'[1]Materials Properties'!$B$9^3/12</f>
        <v>2500</v>
      </c>
      <c r="C61" s="14">
        <f>A61*'[1]Materials Properties'!$B$7</f>
        <v>50000</v>
      </c>
      <c r="D61" s="13">
        <f>C61*('[1]Materials Properties'!$B$9/2)/B61</f>
        <v>100</v>
      </c>
      <c r="E61" s="15">
        <f>A61*'[1]Materials Properties'!$B$7^3/(3*'[1]Materials Properties'!$B$4*B61)</f>
        <v>14.245014245014245</v>
      </c>
      <c r="F61" s="13">
        <f>'[1]Materials Properties'!$C$4/D61</f>
        <v>0.7</v>
      </c>
    </row>
    <row r="62" spans="1:6" x14ac:dyDescent="0.3">
      <c r="A62" s="12">
        <v>110</v>
      </c>
      <c r="B62" s="13">
        <f>'[1]Materials Properties'!$B$8*'[1]Materials Properties'!$B$9^3/12</f>
        <v>2500</v>
      </c>
      <c r="C62" s="14">
        <f>A62*'[1]Materials Properties'!$B$7</f>
        <v>55000</v>
      </c>
      <c r="D62" s="13">
        <f>C62*('[1]Materials Properties'!$B$9/2)/B62</f>
        <v>110</v>
      </c>
      <c r="E62" s="15">
        <f>A62*'[1]Materials Properties'!$B$7^3/(3*'[1]Materials Properties'!$B$4*B62)</f>
        <v>15.66951566951567</v>
      </c>
      <c r="F62" s="13">
        <f>'[1]Materials Properties'!$C$4/D62</f>
        <v>0.63636363636363635</v>
      </c>
    </row>
    <row r="63" spans="1:6" x14ac:dyDescent="0.3">
      <c r="A63" s="12">
        <v>120</v>
      </c>
      <c r="B63" s="13">
        <f>'[1]Materials Properties'!$B$8*'[1]Materials Properties'!$B$9^3/12</f>
        <v>2500</v>
      </c>
      <c r="C63" s="14">
        <f>A63*'[1]Materials Properties'!$B$7</f>
        <v>60000</v>
      </c>
      <c r="D63" s="13">
        <f>C63*('[1]Materials Properties'!$B$9/2)/B63</f>
        <v>120</v>
      </c>
      <c r="E63" s="15">
        <f>A63*'[1]Materials Properties'!$B$7^3/(3*'[1]Materials Properties'!$B$4*B63)</f>
        <v>17.094017094017094</v>
      </c>
      <c r="F63" s="13">
        <f>'[1]Materials Properties'!$C$4/D63</f>
        <v>0.58333333333333337</v>
      </c>
    </row>
    <row r="64" spans="1:6" x14ac:dyDescent="0.3">
      <c r="A64" s="12">
        <v>130</v>
      </c>
      <c r="B64" s="13">
        <f>'[1]Materials Properties'!$B$8*'[1]Materials Properties'!$B$9^3/12</f>
        <v>2500</v>
      </c>
      <c r="C64" s="14">
        <f>A64*'[1]Materials Properties'!$B$7</f>
        <v>65000</v>
      </c>
      <c r="D64" s="13">
        <f>C64*('[1]Materials Properties'!$B$9/2)/B64</f>
        <v>130</v>
      </c>
      <c r="E64" s="15">
        <f>A64*'[1]Materials Properties'!$B$7^3/(3*'[1]Materials Properties'!$B$4*B64)</f>
        <v>18.518518518518519</v>
      </c>
      <c r="F64" s="13">
        <f>'[1]Materials Properties'!$C$4/D64</f>
        <v>0.53846153846153844</v>
      </c>
    </row>
    <row r="65" spans="1:6" x14ac:dyDescent="0.3">
      <c r="A65" s="12">
        <v>140</v>
      </c>
      <c r="B65" s="13">
        <f>'[1]Materials Properties'!$B$8*'[1]Materials Properties'!$B$9^3/12</f>
        <v>2500</v>
      </c>
      <c r="C65" s="14">
        <f>A65*'[1]Materials Properties'!$B$7</f>
        <v>70000</v>
      </c>
      <c r="D65" s="13">
        <f>C65*('[1]Materials Properties'!$B$9/2)/B65</f>
        <v>140</v>
      </c>
      <c r="E65" s="15">
        <f>A65*'[1]Materials Properties'!$B$7^3/(3*'[1]Materials Properties'!$B$4*B65)</f>
        <v>19.943019943019944</v>
      </c>
      <c r="F65" s="13">
        <f>'[1]Materials Properties'!$C$4/D65</f>
        <v>0.5</v>
      </c>
    </row>
    <row r="66" spans="1:6" x14ac:dyDescent="0.3">
      <c r="A66" s="12">
        <v>150</v>
      </c>
      <c r="B66" s="13">
        <f>'[1]Materials Properties'!$B$8*'[1]Materials Properties'!$B$9^3/12</f>
        <v>2500</v>
      </c>
      <c r="C66" s="14">
        <f>A66*'[1]Materials Properties'!$B$7</f>
        <v>75000</v>
      </c>
      <c r="D66" s="13">
        <f>C66*('[1]Materials Properties'!$B$9/2)/B66</f>
        <v>150</v>
      </c>
      <c r="E66" s="15">
        <f>A66*'[1]Materials Properties'!$B$7^3/(3*'[1]Materials Properties'!$B$4*B66)</f>
        <v>21.367521367521366</v>
      </c>
      <c r="F66" s="13">
        <f>'[1]Materials Properties'!$C$4/D66</f>
        <v>0.46666666666666667</v>
      </c>
    </row>
    <row r="67" spans="1:6" x14ac:dyDescent="0.3">
      <c r="A67" s="12">
        <v>160</v>
      </c>
      <c r="B67" s="13">
        <f>'[1]Materials Properties'!$B$8*'[1]Materials Properties'!$B$9^3/12</f>
        <v>2500</v>
      </c>
      <c r="C67" s="14">
        <f>A67*'[1]Materials Properties'!$B$7</f>
        <v>80000</v>
      </c>
      <c r="D67" s="13">
        <f>C67*('[1]Materials Properties'!$B$9/2)/B67</f>
        <v>160</v>
      </c>
      <c r="E67" s="15">
        <f>A67*'[1]Materials Properties'!$B$7^3/(3*'[1]Materials Properties'!$B$4*B67)</f>
        <v>22.792022792022792</v>
      </c>
      <c r="F67" s="13">
        <f>'[1]Materials Properties'!$C$4/D67</f>
        <v>0.4375</v>
      </c>
    </row>
    <row r="68" spans="1:6" x14ac:dyDescent="0.3">
      <c r="A68" s="12">
        <v>170</v>
      </c>
      <c r="B68" s="13">
        <f>'[1]Materials Properties'!$B$8*'[1]Materials Properties'!$B$9^3/12</f>
        <v>2500</v>
      </c>
      <c r="C68" s="14">
        <f>A68*'[1]Materials Properties'!$B$7</f>
        <v>85000</v>
      </c>
      <c r="D68" s="13">
        <f>C68*('[1]Materials Properties'!$B$9/2)/B68</f>
        <v>170</v>
      </c>
      <c r="E68" s="15">
        <f>A68*'[1]Materials Properties'!$B$7^3/(3*'[1]Materials Properties'!$B$4*B68)</f>
        <v>24.216524216524217</v>
      </c>
      <c r="F68" s="13">
        <f>'[1]Materials Properties'!$C$4/D68</f>
        <v>0.41176470588235292</v>
      </c>
    </row>
    <row r="69" spans="1:6" x14ac:dyDescent="0.3">
      <c r="A69" s="12">
        <v>180</v>
      </c>
      <c r="B69" s="13">
        <f>'[1]Materials Properties'!$B$8*'[1]Materials Properties'!$B$9^3/12</f>
        <v>2500</v>
      </c>
      <c r="C69" s="14">
        <f>A69*'[1]Materials Properties'!$B$7</f>
        <v>90000</v>
      </c>
      <c r="D69" s="13">
        <f>C69*('[1]Materials Properties'!$B$9/2)/B69</f>
        <v>180</v>
      </c>
      <c r="E69" s="15">
        <f>A69*'[1]Materials Properties'!$B$7^3/(3*'[1]Materials Properties'!$B$4*B69)</f>
        <v>25.641025641025642</v>
      </c>
      <c r="F69" s="13">
        <f>'[1]Materials Properties'!$C$4/D69</f>
        <v>0.3888888888888889</v>
      </c>
    </row>
    <row r="70" spans="1:6" x14ac:dyDescent="0.3">
      <c r="A70" s="12">
        <v>190</v>
      </c>
      <c r="B70" s="13">
        <f>'[1]Materials Properties'!$B$8*'[1]Materials Properties'!$B$9^3/12</f>
        <v>2500</v>
      </c>
      <c r="C70" s="14">
        <f>A70*'[1]Materials Properties'!$B$7</f>
        <v>95000</v>
      </c>
      <c r="D70" s="13">
        <f>C70*('[1]Materials Properties'!$B$9/2)/B70</f>
        <v>190</v>
      </c>
      <c r="E70" s="15">
        <f>A70*'[1]Materials Properties'!$B$7^3/(3*'[1]Materials Properties'!$B$4*B70)</f>
        <v>27.065527065527064</v>
      </c>
      <c r="F70" s="13">
        <f>'[1]Materials Properties'!$C$4/D70</f>
        <v>0.36842105263157893</v>
      </c>
    </row>
    <row r="71" spans="1:6" x14ac:dyDescent="0.3">
      <c r="A71" s="12">
        <v>200</v>
      </c>
      <c r="B71" s="13">
        <f>'[1]Materials Properties'!$B$8*'[1]Materials Properties'!$B$9^3/12</f>
        <v>2500</v>
      </c>
      <c r="C71" s="14">
        <f>A71*'[1]Materials Properties'!$B$7</f>
        <v>100000</v>
      </c>
      <c r="D71" s="13">
        <f>C71*('[1]Materials Properties'!$B$9/2)/B71</f>
        <v>200</v>
      </c>
      <c r="E71" s="15">
        <f>A71*'[1]Materials Properties'!$B$7^3/(3*'[1]Materials Properties'!$B$4*B71)</f>
        <v>28.490028490028489</v>
      </c>
      <c r="F71" s="13">
        <f>'[1]Materials Properties'!$C$4/D71</f>
        <v>0.35</v>
      </c>
    </row>
    <row r="73" spans="1:6" x14ac:dyDescent="0.3">
      <c r="A73" s="18" t="s">
        <v>22</v>
      </c>
      <c r="B73" s="8"/>
      <c r="C73" s="8"/>
      <c r="D73" s="8"/>
      <c r="E73" s="8"/>
      <c r="F73" s="8"/>
    </row>
    <row r="74" spans="1:6" x14ac:dyDescent="0.3">
      <c r="A74" s="4" t="s">
        <v>19</v>
      </c>
      <c r="B74" s="4" t="s">
        <v>12</v>
      </c>
      <c r="C74" s="4" t="s">
        <v>13</v>
      </c>
      <c r="D74" s="4" t="s">
        <v>14</v>
      </c>
      <c r="E74" s="4" t="s">
        <v>15</v>
      </c>
      <c r="F74" s="4" t="s">
        <v>11</v>
      </c>
    </row>
    <row r="75" spans="1:6" x14ac:dyDescent="0.3">
      <c r="A75" s="12">
        <v>10</v>
      </c>
      <c r="B75" s="13">
        <f>'[1]Materials Properties'!$B$8*'[1]Materials Properties'!$B$9^3/12</f>
        <v>2500</v>
      </c>
      <c r="C75" s="14">
        <f>A75*'[1]Materials Properties'!$B$7</f>
        <v>5000</v>
      </c>
      <c r="D75" s="13">
        <f>C75*('[1]Materials Properties'!$B$9/2)/B75</f>
        <v>10</v>
      </c>
      <c r="E75" s="15">
        <f>A75*'[1]Materials Properties'!$B$7^3/(3*'[1]Materials Properties'!$B$5*B75)</f>
        <v>72.463768115942031</v>
      </c>
      <c r="F75" s="13">
        <f>'[1]Materials Properties'!$C$5/D75</f>
        <v>4</v>
      </c>
    </row>
    <row r="76" spans="1:6" x14ac:dyDescent="0.3">
      <c r="A76" s="12">
        <v>20</v>
      </c>
      <c r="B76" s="13">
        <f>'[1]Materials Properties'!$B$8*'[1]Materials Properties'!$B$9^3/12</f>
        <v>2500</v>
      </c>
      <c r="C76" s="14">
        <f>A76*'[1]Materials Properties'!$B$7</f>
        <v>10000</v>
      </c>
      <c r="D76" s="13">
        <f>C76*('[1]Materials Properties'!$B$9/2)/B76</f>
        <v>20</v>
      </c>
      <c r="E76" s="15">
        <f>A76*'[1]Materials Properties'!$B$7^3/(3*'[1]Materials Properties'!$B$5*B76)</f>
        <v>144.92753623188406</v>
      </c>
      <c r="F76" s="13">
        <f>'[1]Materials Properties'!$C$5/D76</f>
        <v>2</v>
      </c>
    </row>
    <row r="77" spans="1:6" x14ac:dyDescent="0.3">
      <c r="A77" s="12">
        <v>30</v>
      </c>
      <c r="B77" s="13">
        <f>'[1]Materials Properties'!$B$8*'[1]Materials Properties'!$B$9^3/12</f>
        <v>2500</v>
      </c>
      <c r="C77" s="14">
        <f>A77*'[1]Materials Properties'!$B$7</f>
        <v>15000</v>
      </c>
      <c r="D77" s="13">
        <f>C77*('[1]Materials Properties'!$B$9/2)/B77</f>
        <v>30</v>
      </c>
      <c r="E77" s="15">
        <f>A77*'[1]Materials Properties'!$B$7^3/(3*'[1]Materials Properties'!$B$5*B77)</f>
        <v>217.39130434782609</v>
      </c>
      <c r="F77" s="13">
        <f>'[1]Materials Properties'!$C$5/D77</f>
        <v>1.3333333333333333</v>
      </c>
    </row>
    <row r="78" spans="1:6" x14ac:dyDescent="0.3">
      <c r="A78" s="12">
        <v>40</v>
      </c>
      <c r="B78" s="13">
        <f>'[1]Materials Properties'!$B$8*'[1]Materials Properties'!$B$9^3/12</f>
        <v>2500</v>
      </c>
      <c r="C78" s="14">
        <f>A78*'[1]Materials Properties'!$B$7</f>
        <v>20000</v>
      </c>
      <c r="D78" s="13">
        <f>C78*('[1]Materials Properties'!$B$9/2)/B78</f>
        <v>40</v>
      </c>
      <c r="E78" s="15">
        <f>A78*'[1]Materials Properties'!$B$7^3/(3*'[1]Materials Properties'!$B$5*B78)</f>
        <v>289.85507246376812</v>
      </c>
      <c r="F78" s="13">
        <f>'[1]Materials Properties'!$C$5/D78</f>
        <v>1</v>
      </c>
    </row>
    <row r="79" spans="1:6" x14ac:dyDescent="0.3">
      <c r="A79" s="12">
        <v>50</v>
      </c>
      <c r="B79" s="13">
        <f>'[1]Materials Properties'!$B$8*'[1]Materials Properties'!$B$9^3/12</f>
        <v>2500</v>
      </c>
      <c r="C79" s="14">
        <f>A79*'[1]Materials Properties'!$B$7</f>
        <v>25000</v>
      </c>
      <c r="D79" s="13">
        <f>C79*('[1]Materials Properties'!$B$9/2)/B79</f>
        <v>50</v>
      </c>
      <c r="E79" s="15">
        <f>A79*'[1]Materials Properties'!$B$7^3/(3*'[1]Materials Properties'!$B$5*B79)</f>
        <v>362.31884057971013</v>
      </c>
      <c r="F79" s="13">
        <f>'[1]Materials Properties'!$C$5/D79</f>
        <v>0.8</v>
      </c>
    </row>
    <row r="80" spans="1:6" x14ac:dyDescent="0.3">
      <c r="A80" s="12">
        <v>60</v>
      </c>
      <c r="B80" s="13">
        <f>'[1]Materials Properties'!$B$8*'[1]Materials Properties'!$B$9^3/12</f>
        <v>2500</v>
      </c>
      <c r="C80" s="14">
        <f>A80*'[1]Materials Properties'!$B$7</f>
        <v>30000</v>
      </c>
      <c r="D80" s="13">
        <f>C80*('[1]Materials Properties'!$B$9/2)/B80</f>
        <v>60</v>
      </c>
      <c r="E80" s="15">
        <f>A80*'[1]Materials Properties'!$B$7^3/(3*'[1]Materials Properties'!$B$5*B80)</f>
        <v>434.78260869565219</v>
      </c>
      <c r="F80" s="13">
        <f>'[1]Materials Properties'!$C$5/D80</f>
        <v>0.66666666666666663</v>
      </c>
    </row>
    <row r="81" spans="1:6" x14ac:dyDescent="0.3">
      <c r="A81" s="12">
        <v>70</v>
      </c>
      <c r="B81" s="13">
        <f>'[1]Materials Properties'!$B$8*'[1]Materials Properties'!$B$9^3/12</f>
        <v>2500</v>
      </c>
      <c r="C81" s="14">
        <f>A81*'[1]Materials Properties'!$B$7</f>
        <v>35000</v>
      </c>
      <c r="D81" s="13">
        <f>C81*('[1]Materials Properties'!$B$9/2)/B81</f>
        <v>70</v>
      </c>
      <c r="E81" s="15">
        <f>A81*'[1]Materials Properties'!$B$7^3/(3*'[1]Materials Properties'!$B$5*B81)</f>
        <v>507.24637681159419</v>
      </c>
      <c r="F81" s="13">
        <f>'[1]Materials Properties'!$C$5/D81</f>
        <v>0.5714285714285714</v>
      </c>
    </row>
    <row r="82" spans="1:6" x14ac:dyDescent="0.3">
      <c r="A82" s="12">
        <v>80</v>
      </c>
      <c r="B82" s="13">
        <f>'[1]Materials Properties'!$B$8*'[1]Materials Properties'!$B$9^3/12</f>
        <v>2500</v>
      </c>
      <c r="C82" s="14">
        <f>A82*'[1]Materials Properties'!$B$7</f>
        <v>40000</v>
      </c>
      <c r="D82" s="13">
        <f>C82*('[1]Materials Properties'!$B$9/2)/B82</f>
        <v>80</v>
      </c>
      <c r="E82" s="15">
        <f>A82*'[1]Materials Properties'!$B$7^3/(3*'[1]Materials Properties'!$B$5*B82)</f>
        <v>579.71014492753625</v>
      </c>
      <c r="F82" s="13">
        <f>'[1]Materials Properties'!$C$5/D82</f>
        <v>0.5</v>
      </c>
    </row>
    <row r="83" spans="1:6" x14ac:dyDescent="0.3">
      <c r="A83" s="12">
        <v>90</v>
      </c>
      <c r="B83" s="13">
        <f>'[1]Materials Properties'!$B$8*'[1]Materials Properties'!$B$9^3/12</f>
        <v>2500</v>
      </c>
      <c r="C83" s="14">
        <f>A83*'[1]Materials Properties'!$B$7</f>
        <v>45000</v>
      </c>
      <c r="D83" s="13">
        <f>C83*('[1]Materials Properties'!$B$9/2)/B83</f>
        <v>90</v>
      </c>
      <c r="E83" s="15">
        <f>A83*'[1]Materials Properties'!$B$7^3/(3*'[1]Materials Properties'!$B$5*B83)</f>
        <v>652.17391304347825</v>
      </c>
      <c r="F83" s="13">
        <f>'[1]Materials Properties'!$C$5/D83</f>
        <v>0.44444444444444442</v>
      </c>
    </row>
    <row r="84" spans="1:6" x14ac:dyDescent="0.3">
      <c r="A84" s="12">
        <v>100</v>
      </c>
      <c r="B84" s="13">
        <f>'[1]Materials Properties'!$B$8*'[1]Materials Properties'!$B$9^3/12</f>
        <v>2500</v>
      </c>
      <c r="C84" s="14">
        <f>A84*'[1]Materials Properties'!$B$7</f>
        <v>50000</v>
      </c>
      <c r="D84" s="13">
        <f>C84*('[1]Materials Properties'!$B$9/2)/B84</f>
        <v>100</v>
      </c>
      <c r="E84" s="15">
        <f>A84*'[1]Materials Properties'!$B$7^3/(3*'[1]Materials Properties'!$B$5*B84)</f>
        <v>724.63768115942025</v>
      </c>
      <c r="F84" s="13">
        <f>'[1]Materials Properties'!$C$5/D84</f>
        <v>0.4</v>
      </c>
    </row>
    <row r="85" spans="1:6" x14ac:dyDescent="0.3">
      <c r="A85" s="12">
        <v>110</v>
      </c>
      <c r="B85" s="13">
        <f>'[1]Materials Properties'!$B$8*'[1]Materials Properties'!$B$9^3/12</f>
        <v>2500</v>
      </c>
      <c r="C85" s="14">
        <f>A85*'[1]Materials Properties'!$B$7</f>
        <v>55000</v>
      </c>
      <c r="D85" s="13">
        <f>C85*('[1]Materials Properties'!$B$9/2)/B85</f>
        <v>110</v>
      </c>
      <c r="E85" s="15">
        <f>A85*'[1]Materials Properties'!$B$7^3/(3*'[1]Materials Properties'!$B$5*B85)</f>
        <v>797.10144927536237</v>
      </c>
      <c r="F85" s="13">
        <f>'[1]Materials Properties'!$C$5/D85</f>
        <v>0.36363636363636365</v>
      </c>
    </row>
    <row r="86" spans="1:6" x14ac:dyDescent="0.3">
      <c r="A86" s="12">
        <v>120</v>
      </c>
      <c r="B86" s="13">
        <f>'[1]Materials Properties'!$B$8*'[1]Materials Properties'!$B$9^3/12</f>
        <v>2500</v>
      </c>
      <c r="C86" s="14">
        <f>A86*'[1]Materials Properties'!$B$7</f>
        <v>60000</v>
      </c>
      <c r="D86" s="13">
        <f>C86*('[1]Materials Properties'!$B$9/2)/B86</f>
        <v>120</v>
      </c>
      <c r="E86" s="15">
        <f>A86*'[1]Materials Properties'!$B$7^3/(3*'[1]Materials Properties'!$B$5*B86)</f>
        <v>869.56521739130437</v>
      </c>
      <c r="F86" s="13">
        <f>'[1]Materials Properties'!$C$5/D86</f>
        <v>0.33333333333333331</v>
      </c>
    </row>
    <row r="87" spans="1:6" x14ac:dyDescent="0.3">
      <c r="A87" s="12">
        <v>130</v>
      </c>
      <c r="B87" s="13">
        <f>'[1]Materials Properties'!$B$8*'[1]Materials Properties'!$B$9^3/12</f>
        <v>2500</v>
      </c>
      <c r="C87" s="14">
        <f>A87*'[1]Materials Properties'!$B$7</f>
        <v>65000</v>
      </c>
      <c r="D87" s="13">
        <f>C87*('[1]Materials Properties'!$B$9/2)/B87</f>
        <v>130</v>
      </c>
      <c r="E87" s="15">
        <f>A87*'[1]Materials Properties'!$B$7^3/(3*'[1]Materials Properties'!$B$5*B87)</f>
        <v>942.02898550724638</v>
      </c>
      <c r="F87" s="13">
        <f>'[1]Materials Properties'!$C$5/D87</f>
        <v>0.30769230769230771</v>
      </c>
    </row>
    <row r="88" spans="1:6" x14ac:dyDescent="0.3">
      <c r="A88" s="12">
        <v>140</v>
      </c>
      <c r="B88" s="13">
        <f>'[1]Materials Properties'!$B$8*'[1]Materials Properties'!$B$9^3/12</f>
        <v>2500</v>
      </c>
      <c r="C88" s="14">
        <f>A88*'[1]Materials Properties'!$B$7</f>
        <v>70000</v>
      </c>
      <c r="D88" s="13">
        <f>C88*('[1]Materials Properties'!$B$9/2)/B88</f>
        <v>140</v>
      </c>
      <c r="E88" s="15">
        <f>A88*'[1]Materials Properties'!$B$7^3/(3*'[1]Materials Properties'!$B$5*B88)</f>
        <v>1014.4927536231884</v>
      </c>
      <c r="F88" s="13">
        <f>'[1]Materials Properties'!$C$5/D88</f>
        <v>0.2857142857142857</v>
      </c>
    </row>
    <row r="89" spans="1:6" x14ac:dyDescent="0.3">
      <c r="A89" s="12">
        <v>150</v>
      </c>
      <c r="B89" s="13">
        <f>'[1]Materials Properties'!$B$8*'[1]Materials Properties'!$B$9^3/12</f>
        <v>2500</v>
      </c>
      <c r="C89" s="14">
        <f>A89*'[1]Materials Properties'!$B$7</f>
        <v>75000</v>
      </c>
      <c r="D89" s="13">
        <f>C89*('[1]Materials Properties'!$B$9/2)/B89</f>
        <v>150</v>
      </c>
      <c r="E89" s="15">
        <f>A89*'[1]Materials Properties'!$B$7^3/(3*'[1]Materials Properties'!$B$5*B89)</f>
        <v>1086.9565217391305</v>
      </c>
      <c r="F89" s="13">
        <f>'[1]Materials Properties'!$C$5/D89</f>
        <v>0.26666666666666666</v>
      </c>
    </row>
    <row r="90" spans="1:6" x14ac:dyDescent="0.3">
      <c r="A90" s="12">
        <v>160</v>
      </c>
      <c r="B90" s="13">
        <f>'[1]Materials Properties'!$B$8*'[1]Materials Properties'!$B$9^3/12</f>
        <v>2500</v>
      </c>
      <c r="C90" s="14">
        <f>A90*'[1]Materials Properties'!$B$7</f>
        <v>80000</v>
      </c>
      <c r="D90" s="13">
        <f>C90*('[1]Materials Properties'!$B$9/2)/B90</f>
        <v>160</v>
      </c>
      <c r="E90" s="15">
        <f>A90*'[1]Materials Properties'!$B$7^3/(3*'[1]Materials Properties'!$B$5*B90)</f>
        <v>1159.4202898550725</v>
      </c>
      <c r="F90" s="13">
        <f>'[1]Materials Properties'!$C$5/D90</f>
        <v>0.25</v>
      </c>
    </row>
    <row r="91" spans="1:6" x14ac:dyDescent="0.3">
      <c r="A91" s="12">
        <v>170</v>
      </c>
      <c r="B91" s="13">
        <f>'[1]Materials Properties'!$B$8*'[1]Materials Properties'!$B$9^3/12</f>
        <v>2500</v>
      </c>
      <c r="C91" s="14">
        <f>A91*'[1]Materials Properties'!$B$7</f>
        <v>85000</v>
      </c>
      <c r="D91" s="13">
        <f>C91*('[1]Materials Properties'!$B$9/2)/B91</f>
        <v>170</v>
      </c>
      <c r="E91" s="15">
        <f>A91*'[1]Materials Properties'!$B$7^3/(3*'[1]Materials Properties'!$B$5*B91)</f>
        <v>1231.8840579710145</v>
      </c>
      <c r="F91" s="13">
        <f>'[1]Materials Properties'!$C$5/D91</f>
        <v>0.23529411764705882</v>
      </c>
    </row>
    <row r="92" spans="1:6" x14ac:dyDescent="0.3">
      <c r="A92" s="12">
        <v>180</v>
      </c>
      <c r="B92" s="13">
        <f>'[1]Materials Properties'!$B$8*'[1]Materials Properties'!$B$9^3/12</f>
        <v>2500</v>
      </c>
      <c r="C92" s="14">
        <f>A92*'[1]Materials Properties'!$B$7</f>
        <v>90000</v>
      </c>
      <c r="D92" s="13">
        <f>C92*('[1]Materials Properties'!$B$9/2)/B92</f>
        <v>180</v>
      </c>
      <c r="E92" s="15">
        <f>A92*'[1]Materials Properties'!$B$7^3/(3*'[1]Materials Properties'!$B$5*B92)</f>
        <v>1304.3478260869565</v>
      </c>
      <c r="F92" s="13">
        <f>'[1]Materials Properties'!$C$5/D92</f>
        <v>0.22222222222222221</v>
      </c>
    </row>
    <row r="93" spans="1:6" x14ac:dyDescent="0.3">
      <c r="A93" s="12">
        <v>190</v>
      </c>
      <c r="B93" s="13">
        <f>'[1]Materials Properties'!$B$8*'[1]Materials Properties'!$B$9^3/12</f>
        <v>2500</v>
      </c>
      <c r="C93" s="14">
        <f>A93*'[1]Materials Properties'!$B$7</f>
        <v>95000</v>
      </c>
      <c r="D93" s="13">
        <f>C93*('[1]Materials Properties'!$B$9/2)/B93</f>
        <v>190</v>
      </c>
      <c r="E93" s="15">
        <f>A93*'[1]Materials Properties'!$B$7^3/(3*'[1]Materials Properties'!$B$5*B93)</f>
        <v>1376.8115942028985</v>
      </c>
      <c r="F93" s="13">
        <f>'[1]Materials Properties'!$C$5/D93</f>
        <v>0.21052631578947367</v>
      </c>
    </row>
    <row r="94" spans="1:6" x14ac:dyDescent="0.3">
      <c r="A94" s="12">
        <v>200</v>
      </c>
      <c r="B94" s="13">
        <f>'[1]Materials Properties'!$B$8*'[1]Materials Properties'!$B$9^3/12</f>
        <v>2500</v>
      </c>
      <c r="C94" s="14">
        <f>A94*'[1]Materials Properties'!$B$7</f>
        <v>100000</v>
      </c>
      <c r="D94" s="13">
        <f>C94*('[1]Materials Properties'!$B$9/2)/B94</f>
        <v>200</v>
      </c>
      <c r="E94" s="15">
        <f>A94*'[1]Materials Properties'!$B$7^3/(3*'[1]Materials Properties'!$B$5*B94)</f>
        <v>1449.2753623188405</v>
      </c>
      <c r="F94" s="13">
        <f>'[1]Materials Properties'!$C$5/D94</f>
        <v>0.2</v>
      </c>
    </row>
  </sheetData>
  <mergeCells count="6">
    <mergeCell ref="A1:F1"/>
    <mergeCell ref="A2:F2"/>
    <mergeCell ref="A4:F4"/>
    <mergeCell ref="A27:F27"/>
    <mergeCell ref="A50:F50"/>
    <mergeCell ref="A73:F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4C8C-D71C-4216-9A6D-05CB732CCAD9}">
  <dimension ref="A1:F94"/>
  <sheetViews>
    <sheetView tabSelected="1" workbookViewId="0">
      <selection activeCell="H86" sqref="H86"/>
    </sheetView>
  </sheetViews>
  <sheetFormatPr defaultRowHeight="14.4" x14ac:dyDescent="0.3"/>
  <cols>
    <col min="1" max="1" width="9.5546875" bestFit="1" customWidth="1"/>
    <col min="2" max="2" width="7.44140625" bestFit="1" customWidth="1"/>
    <col min="3" max="3" width="14.44140625" bestFit="1" customWidth="1"/>
    <col min="4" max="4" width="12.33203125" bestFit="1" customWidth="1"/>
    <col min="5" max="5" width="11.77734375" bestFit="1" customWidth="1"/>
  </cols>
  <sheetData>
    <row r="1" spans="1:6" ht="16.8" x14ac:dyDescent="0.3">
      <c r="A1" s="9" t="s">
        <v>29</v>
      </c>
      <c r="B1" s="8"/>
      <c r="C1" s="8"/>
      <c r="D1" s="8"/>
      <c r="E1" s="8"/>
      <c r="F1" s="8"/>
    </row>
    <row r="2" spans="1:6" x14ac:dyDescent="0.3">
      <c r="A2" s="10" t="s">
        <v>23</v>
      </c>
      <c r="B2" s="8"/>
      <c r="C2" s="8"/>
      <c r="D2" s="8"/>
      <c r="E2" s="8"/>
      <c r="F2" s="8"/>
    </row>
    <row r="4" spans="1:6" x14ac:dyDescent="0.3">
      <c r="A4" s="11" t="s">
        <v>18</v>
      </c>
      <c r="B4" s="8"/>
      <c r="C4" s="8"/>
      <c r="D4" s="8"/>
      <c r="E4" s="8"/>
      <c r="F4" s="8"/>
    </row>
    <row r="5" spans="1:6" ht="26.4" x14ac:dyDescent="0.3">
      <c r="A5" s="4" t="s">
        <v>24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11</v>
      </c>
    </row>
    <row r="6" spans="1:6" x14ac:dyDescent="0.3">
      <c r="A6" s="19">
        <v>0.1</v>
      </c>
      <c r="B6" s="13">
        <f>'[1]Materials Properties'!$B$8*'[1]Materials Properties'!$B$9^3/12</f>
        <v>2500</v>
      </c>
      <c r="C6" s="14">
        <f>A6*'[1]Materials Properties'!$B$7^2/2</f>
        <v>12500</v>
      </c>
      <c r="D6" s="13">
        <f>C6*('[1]Materials Properties'!$B$9/2)/B6</f>
        <v>25</v>
      </c>
      <c r="E6" s="15">
        <f>A6*'[1]Materials Properties'!$B$7^4/(8*'[1]Materials Properties'!$B$2*B6)</f>
        <v>1.5625</v>
      </c>
      <c r="F6" s="13">
        <f>'[1]Materials Properties'!$C$2/D6</f>
        <v>10</v>
      </c>
    </row>
    <row r="7" spans="1:6" x14ac:dyDescent="0.3">
      <c r="A7" s="19">
        <v>0.2</v>
      </c>
      <c r="B7" s="13">
        <f>'[1]Materials Properties'!$B$8*'[1]Materials Properties'!$B$9^3/12</f>
        <v>2500</v>
      </c>
      <c r="C7" s="14">
        <f>A7*'[1]Materials Properties'!$B$7^2/2</f>
        <v>25000</v>
      </c>
      <c r="D7" s="13">
        <f>C7*('[1]Materials Properties'!$B$9/2)/B7</f>
        <v>50</v>
      </c>
      <c r="E7" s="15">
        <f>A7*'[1]Materials Properties'!$B$7^4/(8*'[1]Materials Properties'!$B$2*B7)</f>
        <v>3.125</v>
      </c>
      <c r="F7" s="13">
        <f>'[1]Materials Properties'!$C$2/D7</f>
        <v>5</v>
      </c>
    </row>
    <row r="8" spans="1:6" x14ac:dyDescent="0.3">
      <c r="A8" s="19">
        <v>0.3</v>
      </c>
      <c r="B8" s="13">
        <f>'[1]Materials Properties'!$B$8*'[1]Materials Properties'!$B$9^3/12</f>
        <v>2500</v>
      </c>
      <c r="C8" s="14">
        <f>A8*'[1]Materials Properties'!$B$7^2/2</f>
        <v>37500</v>
      </c>
      <c r="D8" s="13">
        <f>C8*('[1]Materials Properties'!$B$9/2)/B8</f>
        <v>75</v>
      </c>
      <c r="E8" s="15">
        <f>A8*'[1]Materials Properties'!$B$7^4/(8*'[1]Materials Properties'!$B$2*B8)</f>
        <v>4.6875</v>
      </c>
      <c r="F8" s="13">
        <f>'[1]Materials Properties'!$C$2/D8</f>
        <v>3.3333333333333335</v>
      </c>
    </row>
    <row r="9" spans="1:6" x14ac:dyDescent="0.3">
      <c r="A9" s="19">
        <v>0.4</v>
      </c>
      <c r="B9" s="13">
        <f>'[1]Materials Properties'!$B$8*'[1]Materials Properties'!$B$9^3/12</f>
        <v>2500</v>
      </c>
      <c r="C9" s="14">
        <f>A9*'[1]Materials Properties'!$B$7^2/2</f>
        <v>50000</v>
      </c>
      <c r="D9" s="13">
        <f>C9*('[1]Materials Properties'!$B$9/2)/B9</f>
        <v>100</v>
      </c>
      <c r="E9" s="15">
        <f>A9*'[1]Materials Properties'!$B$7^4/(8*'[1]Materials Properties'!$B$2*B9)</f>
        <v>6.25</v>
      </c>
      <c r="F9" s="13">
        <f>'[1]Materials Properties'!$C$2/D9</f>
        <v>2.5</v>
      </c>
    </row>
    <row r="10" spans="1:6" x14ac:dyDescent="0.3">
      <c r="A10" s="19">
        <v>0.5</v>
      </c>
      <c r="B10" s="13">
        <f>'[1]Materials Properties'!$B$8*'[1]Materials Properties'!$B$9^3/12</f>
        <v>2500</v>
      </c>
      <c r="C10" s="14">
        <f>A10*'[1]Materials Properties'!$B$7^2/2</f>
        <v>62500</v>
      </c>
      <c r="D10" s="13">
        <f>C10*('[1]Materials Properties'!$B$9/2)/B10</f>
        <v>125</v>
      </c>
      <c r="E10" s="15">
        <f>A10*'[1]Materials Properties'!$B$7^4/(8*'[1]Materials Properties'!$B$2*B10)</f>
        <v>7.8125</v>
      </c>
      <c r="F10" s="13">
        <f>'[1]Materials Properties'!$C$2/D10</f>
        <v>2</v>
      </c>
    </row>
    <row r="11" spans="1:6" x14ac:dyDescent="0.3">
      <c r="A11" s="19">
        <v>0.6</v>
      </c>
      <c r="B11" s="13">
        <f>'[1]Materials Properties'!$B$8*'[1]Materials Properties'!$B$9^3/12</f>
        <v>2500</v>
      </c>
      <c r="C11" s="14">
        <f>A11*'[1]Materials Properties'!$B$7^2/2</f>
        <v>75000</v>
      </c>
      <c r="D11" s="13">
        <f>C11*('[1]Materials Properties'!$B$9/2)/B11</f>
        <v>150</v>
      </c>
      <c r="E11" s="15">
        <f>A11*'[1]Materials Properties'!$B$7^4/(8*'[1]Materials Properties'!$B$2*B11)</f>
        <v>9.375</v>
      </c>
      <c r="F11" s="13">
        <f>'[1]Materials Properties'!$C$2/D11</f>
        <v>1.6666666666666667</v>
      </c>
    </row>
    <row r="12" spans="1:6" x14ac:dyDescent="0.3">
      <c r="A12" s="19">
        <v>0.7</v>
      </c>
      <c r="B12" s="13">
        <f>'[1]Materials Properties'!$B$8*'[1]Materials Properties'!$B$9^3/12</f>
        <v>2500</v>
      </c>
      <c r="C12" s="14">
        <f>A12*'[1]Materials Properties'!$B$7^2/2</f>
        <v>87500</v>
      </c>
      <c r="D12" s="13">
        <f>C12*('[1]Materials Properties'!$B$9/2)/B12</f>
        <v>175</v>
      </c>
      <c r="E12" s="15">
        <f>A12*'[1]Materials Properties'!$B$7^4/(8*'[1]Materials Properties'!$B$2*B12)</f>
        <v>10.9375</v>
      </c>
      <c r="F12" s="13">
        <f>'[1]Materials Properties'!$C$2/D12</f>
        <v>1.4285714285714286</v>
      </c>
    </row>
    <row r="13" spans="1:6" x14ac:dyDescent="0.3">
      <c r="A13" s="19">
        <v>0.8</v>
      </c>
      <c r="B13" s="13">
        <f>'[1]Materials Properties'!$B$8*'[1]Materials Properties'!$B$9^3/12</f>
        <v>2500</v>
      </c>
      <c r="C13" s="14">
        <f>A13*'[1]Materials Properties'!$B$7^2/2</f>
        <v>100000</v>
      </c>
      <c r="D13" s="13">
        <f>C13*('[1]Materials Properties'!$B$9/2)/B13</f>
        <v>200</v>
      </c>
      <c r="E13" s="15">
        <f>A13*'[1]Materials Properties'!$B$7^4/(8*'[1]Materials Properties'!$B$2*B13)</f>
        <v>12.5</v>
      </c>
      <c r="F13" s="13">
        <f>'[1]Materials Properties'!$C$2/D13</f>
        <v>1.25</v>
      </c>
    </row>
    <row r="14" spans="1:6" x14ac:dyDescent="0.3">
      <c r="A14" s="19">
        <v>0.9</v>
      </c>
      <c r="B14" s="13">
        <f>'[1]Materials Properties'!$B$8*'[1]Materials Properties'!$B$9^3/12</f>
        <v>2500</v>
      </c>
      <c r="C14" s="14">
        <f>A14*'[1]Materials Properties'!$B$7^2/2</f>
        <v>112500</v>
      </c>
      <c r="D14" s="13">
        <f>C14*('[1]Materials Properties'!$B$9/2)/B14</f>
        <v>225</v>
      </c>
      <c r="E14" s="15">
        <f>A14*'[1]Materials Properties'!$B$7^4/(8*'[1]Materials Properties'!$B$2*B14)</f>
        <v>14.0625</v>
      </c>
      <c r="F14" s="13">
        <f>'[1]Materials Properties'!$C$2/D14</f>
        <v>1.1111111111111112</v>
      </c>
    </row>
    <row r="15" spans="1:6" x14ac:dyDescent="0.3">
      <c r="A15" s="19">
        <v>1</v>
      </c>
      <c r="B15" s="13">
        <f>'[1]Materials Properties'!$B$8*'[1]Materials Properties'!$B$9^3/12</f>
        <v>2500</v>
      </c>
      <c r="C15" s="14">
        <f>A15*'[1]Materials Properties'!$B$7^2/2</f>
        <v>125000</v>
      </c>
      <c r="D15" s="13">
        <f>C15*('[1]Materials Properties'!$B$9/2)/B15</f>
        <v>250</v>
      </c>
      <c r="E15" s="15">
        <f>A15*'[1]Materials Properties'!$B$7^4/(8*'[1]Materials Properties'!$B$2*B15)</f>
        <v>15.625</v>
      </c>
      <c r="F15" s="13">
        <f>'[1]Materials Properties'!$C$2/D15</f>
        <v>1</v>
      </c>
    </row>
    <row r="16" spans="1:6" x14ac:dyDescent="0.3">
      <c r="A16" s="19">
        <v>1.1000000000000001</v>
      </c>
      <c r="B16" s="13">
        <f>'[1]Materials Properties'!$B$8*'[1]Materials Properties'!$B$9^3/12</f>
        <v>2500</v>
      </c>
      <c r="C16" s="14">
        <f>A16*'[1]Materials Properties'!$B$7^2/2</f>
        <v>137500</v>
      </c>
      <c r="D16" s="13">
        <f>C16*('[1]Materials Properties'!$B$9/2)/B16</f>
        <v>275</v>
      </c>
      <c r="E16" s="15">
        <f>A16*'[1]Materials Properties'!$B$7^4/(8*'[1]Materials Properties'!$B$2*B16)</f>
        <v>17.1875</v>
      </c>
      <c r="F16" s="13">
        <f>'[1]Materials Properties'!$C$2/D16</f>
        <v>0.90909090909090906</v>
      </c>
    </row>
    <row r="17" spans="1:6" x14ac:dyDescent="0.3">
      <c r="A17" s="19">
        <v>1.2</v>
      </c>
      <c r="B17" s="13">
        <f>'[1]Materials Properties'!$B$8*'[1]Materials Properties'!$B$9^3/12</f>
        <v>2500</v>
      </c>
      <c r="C17" s="14">
        <f>A17*'[1]Materials Properties'!$B$7^2/2</f>
        <v>150000</v>
      </c>
      <c r="D17" s="13">
        <f>C17*('[1]Materials Properties'!$B$9/2)/B17</f>
        <v>300</v>
      </c>
      <c r="E17" s="15">
        <f>A17*'[1]Materials Properties'!$B$7^4/(8*'[1]Materials Properties'!$B$2*B17)</f>
        <v>18.75</v>
      </c>
      <c r="F17" s="13">
        <f>'[1]Materials Properties'!$C$2/D17</f>
        <v>0.83333333333333337</v>
      </c>
    </row>
    <row r="18" spans="1:6" x14ac:dyDescent="0.3">
      <c r="A18" s="19">
        <v>1.3</v>
      </c>
      <c r="B18" s="13">
        <f>'[1]Materials Properties'!$B$8*'[1]Materials Properties'!$B$9^3/12</f>
        <v>2500</v>
      </c>
      <c r="C18" s="14">
        <f>A18*'[1]Materials Properties'!$B$7^2/2</f>
        <v>162500</v>
      </c>
      <c r="D18" s="13">
        <f>C18*('[1]Materials Properties'!$B$9/2)/B18</f>
        <v>325</v>
      </c>
      <c r="E18" s="15">
        <f>A18*'[1]Materials Properties'!$B$7^4/(8*'[1]Materials Properties'!$B$2*B18)</f>
        <v>20.3125</v>
      </c>
      <c r="F18" s="13">
        <f>'[1]Materials Properties'!$C$2/D18</f>
        <v>0.76923076923076927</v>
      </c>
    </row>
    <row r="19" spans="1:6" x14ac:dyDescent="0.3">
      <c r="A19" s="19">
        <v>1.4</v>
      </c>
      <c r="B19" s="13">
        <f>'[1]Materials Properties'!$B$8*'[1]Materials Properties'!$B$9^3/12</f>
        <v>2500</v>
      </c>
      <c r="C19" s="14">
        <f>A19*'[1]Materials Properties'!$B$7^2/2</f>
        <v>175000</v>
      </c>
      <c r="D19" s="13">
        <f>C19*('[1]Materials Properties'!$B$9/2)/B19</f>
        <v>350</v>
      </c>
      <c r="E19" s="15">
        <f>A19*'[1]Materials Properties'!$B$7^4/(8*'[1]Materials Properties'!$B$2*B19)</f>
        <v>21.875</v>
      </c>
      <c r="F19" s="13">
        <f>'[1]Materials Properties'!$C$2/D19</f>
        <v>0.7142857142857143</v>
      </c>
    </row>
    <row r="20" spans="1:6" x14ac:dyDescent="0.3">
      <c r="A20" s="19">
        <v>1.5</v>
      </c>
      <c r="B20" s="13">
        <f>'[1]Materials Properties'!$B$8*'[1]Materials Properties'!$B$9^3/12</f>
        <v>2500</v>
      </c>
      <c r="C20" s="14">
        <f>A20*'[1]Materials Properties'!$B$7^2/2</f>
        <v>187500</v>
      </c>
      <c r="D20" s="13">
        <f>C20*('[1]Materials Properties'!$B$9/2)/B20</f>
        <v>375</v>
      </c>
      <c r="E20" s="15">
        <f>A20*'[1]Materials Properties'!$B$7^4/(8*'[1]Materials Properties'!$B$2*B20)</f>
        <v>23.4375</v>
      </c>
      <c r="F20" s="13">
        <f>'[1]Materials Properties'!$C$2/D20</f>
        <v>0.66666666666666663</v>
      </c>
    </row>
    <row r="21" spans="1:6" x14ac:dyDescent="0.3">
      <c r="A21" s="19">
        <v>1.6</v>
      </c>
      <c r="B21" s="13">
        <f>'[1]Materials Properties'!$B$8*'[1]Materials Properties'!$B$9^3/12</f>
        <v>2500</v>
      </c>
      <c r="C21" s="14">
        <f>A21*'[1]Materials Properties'!$B$7^2/2</f>
        <v>200000</v>
      </c>
      <c r="D21" s="13">
        <f>C21*('[1]Materials Properties'!$B$9/2)/B21</f>
        <v>400</v>
      </c>
      <c r="E21" s="15">
        <f>A21*'[1]Materials Properties'!$B$7^4/(8*'[1]Materials Properties'!$B$2*B21)</f>
        <v>25</v>
      </c>
      <c r="F21" s="13">
        <f>'[1]Materials Properties'!$C$2/D21</f>
        <v>0.625</v>
      </c>
    </row>
    <row r="22" spans="1:6" x14ac:dyDescent="0.3">
      <c r="A22" s="19">
        <v>1.7</v>
      </c>
      <c r="B22" s="13">
        <f>'[1]Materials Properties'!$B$8*'[1]Materials Properties'!$B$9^3/12</f>
        <v>2500</v>
      </c>
      <c r="C22" s="14">
        <f>A22*'[1]Materials Properties'!$B$7^2/2</f>
        <v>212500</v>
      </c>
      <c r="D22" s="13">
        <f>C22*('[1]Materials Properties'!$B$9/2)/B22</f>
        <v>425</v>
      </c>
      <c r="E22" s="15">
        <f>A22*'[1]Materials Properties'!$B$7^4/(8*'[1]Materials Properties'!$B$2*B22)</f>
        <v>26.5625</v>
      </c>
      <c r="F22" s="13">
        <f>'[1]Materials Properties'!$C$2/D22</f>
        <v>0.58823529411764708</v>
      </c>
    </row>
    <row r="23" spans="1:6" x14ac:dyDescent="0.3">
      <c r="A23" s="19">
        <v>1.8</v>
      </c>
      <c r="B23" s="13">
        <f>'[1]Materials Properties'!$B$8*'[1]Materials Properties'!$B$9^3/12</f>
        <v>2500</v>
      </c>
      <c r="C23" s="14">
        <f>A23*'[1]Materials Properties'!$B$7^2/2</f>
        <v>225000</v>
      </c>
      <c r="D23" s="13">
        <f>C23*('[1]Materials Properties'!$B$9/2)/B23</f>
        <v>450</v>
      </c>
      <c r="E23" s="15">
        <f>A23*'[1]Materials Properties'!$B$7^4/(8*'[1]Materials Properties'!$B$2*B23)</f>
        <v>28.125</v>
      </c>
      <c r="F23" s="13">
        <f>'[1]Materials Properties'!$C$2/D23</f>
        <v>0.55555555555555558</v>
      </c>
    </row>
    <row r="24" spans="1:6" x14ac:dyDescent="0.3">
      <c r="A24" s="19">
        <v>1.9</v>
      </c>
      <c r="B24" s="13">
        <f>'[1]Materials Properties'!$B$8*'[1]Materials Properties'!$B$9^3/12</f>
        <v>2500</v>
      </c>
      <c r="C24" s="14">
        <f>A24*'[1]Materials Properties'!$B$7^2/2</f>
        <v>237500</v>
      </c>
      <c r="D24" s="13">
        <f>C24*('[1]Materials Properties'!$B$9/2)/B24</f>
        <v>475</v>
      </c>
      <c r="E24" s="15">
        <f>A24*'[1]Materials Properties'!$B$7^4/(8*'[1]Materials Properties'!$B$2*B24)</f>
        <v>29.6875</v>
      </c>
      <c r="F24" s="13">
        <f>'[1]Materials Properties'!$C$2/D24</f>
        <v>0.52631578947368418</v>
      </c>
    </row>
    <row r="25" spans="1:6" x14ac:dyDescent="0.3">
      <c r="A25" s="19">
        <v>2</v>
      </c>
      <c r="B25" s="13">
        <f>'[1]Materials Properties'!$B$8*'[1]Materials Properties'!$B$9^3/12</f>
        <v>2500</v>
      </c>
      <c r="C25" s="14">
        <f>A25*'[1]Materials Properties'!$B$7^2/2</f>
        <v>250000</v>
      </c>
      <c r="D25" s="13">
        <f>C25*('[1]Materials Properties'!$B$9/2)/B25</f>
        <v>500</v>
      </c>
      <c r="E25" s="15">
        <f>A25*'[1]Materials Properties'!$B$7^4/(8*'[1]Materials Properties'!$B$2*B25)</f>
        <v>31.25</v>
      </c>
      <c r="F25" s="13">
        <f>'[1]Materials Properties'!$C$2/D25</f>
        <v>0.5</v>
      </c>
    </row>
    <row r="27" spans="1:6" x14ac:dyDescent="0.3">
      <c r="A27" s="16" t="s">
        <v>20</v>
      </c>
      <c r="B27" s="8"/>
      <c r="C27" s="8"/>
      <c r="D27" s="8"/>
      <c r="E27" s="8"/>
      <c r="F27" s="8"/>
    </row>
    <row r="28" spans="1:6" ht="26.4" x14ac:dyDescent="0.3">
      <c r="A28" s="4" t="s">
        <v>24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11</v>
      </c>
    </row>
    <row r="29" spans="1:6" x14ac:dyDescent="0.3">
      <c r="A29" s="19">
        <v>0.1</v>
      </c>
      <c r="B29" s="13">
        <f>'[1]Materials Properties'!$B$8*'[1]Materials Properties'!$B$9^3/12</f>
        <v>2500</v>
      </c>
      <c r="C29" s="14">
        <f>A29*'[1]Materials Properties'!$B$7^2/2</f>
        <v>12500</v>
      </c>
      <c r="D29" s="13">
        <f>C29*('[1]Materials Properties'!$B$9/2)/B29</f>
        <v>25</v>
      </c>
      <c r="E29" s="15">
        <f>A29*'[1]Materials Properties'!$B$7^4/(8*'[1]Materials Properties'!$B$3*B29)</f>
        <v>4.5289855072463769</v>
      </c>
      <c r="F29" s="13">
        <f>'[1]Materials Properties'!$C$3/D29</f>
        <v>11.04</v>
      </c>
    </row>
    <row r="30" spans="1:6" x14ac:dyDescent="0.3">
      <c r="A30" s="19">
        <v>0.2</v>
      </c>
      <c r="B30" s="13">
        <f>'[1]Materials Properties'!$B$8*'[1]Materials Properties'!$B$9^3/12</f>
        <v>2500</v>
      </c>
      <c r="C30" s="14">
        <f>A30*'[1]Materials Properties'!$B$7^2/2</f>
        <v>25000</v>
      </c>
      <c r="D30" s="13">
        <f>C30*('[1]Materials Properties'!$B$9/2)/B30</f>
        <v>50</v>
      </c>
      <c r="E30" s="15">
        <f>A30*'[1]Materials Properties'!$B$7^4/(8*'[1]Materials Properties'!$B$3*B30)</f>
        <v>9.0579710144927539</v>
      </c>
      <c r="F30" s="13">
        <f>'[1]Materials Properties'!$C$3/D30</f>
        <v>5.52</v>
      </c>
    </row>
    <row r="31" spans="1:6" x14ac:dyDescent="0.3">
      <c r="A31" s="19">
        <v>0.3</v>
      </c>
      <c r="B31" s="13">
        <f>'[1]Materials Properties'!$B$8*'[1]Materials Properties'!$B$9^3/12</f>
        <v>2500</v>
      </c>
      <c r="C31" s="14">
        <f>A31*'[1]Materials Properties'!$B$7^2/2</f>
        <v>37500</v>
      </c>
      <c r="D31" s="13">
        <f>C31*('[1]Materials Properties'!$B$9/2)/B31</f>
        <v>75</v>
      </c>
      <c r="E31" s="15">
        <f>A31*'[1]Materials Properties'!$B$7^4/(8*'[1]Materials Properties'!$B$3*B31)</f>
        <v>13.586956521739131</v>
      </c>
      <c r="F31" s="13">
        <f>'[1]Materials Properties'!$C$3/D31</f>
        <v>3.68</v>
      </c>
    </row>
    <row r="32" spans="1:6" x14ac:dyDescent="0.3">
      <c r="A32" s="19">
        <v>0.4</v>
      </c>
      <c r="B32" s="13">
        <f>'[1]Materials Properties'!$B$8*'[1]Materials Properties'!$B$9^3/12</f>
        <v>2500</v>
      </c>
      <c r="C32" s="14">
        <f>A32*'[1]Materials Properties'!$B$7^2/2</f>
        <v>50000</v>
      </c>
      <c r="D32" s="13">
        <f>C32*('[1]Materials Properties'!$B$9/2)/B32</f>
        <v>100</v>
      </c>
      <c r="E32" s="15">
        <f>A32*'[1]Materials Properties'!$B$7^4/(8*'[1]Materials Properties'!$B$3*B32)</f>
        <v>18.115942028985508</v>
      </c>
      <c r="F32" s="13">
        <f>'[1]Materials Properties'!$C$3/D32</f>
        <v>2.76</v>
      </c>
    </row>
    <row r="33" spans="1:6" x14ac:dyDescent="0.3">
      <c r="A33" s="19">
        <v>0.5</v>
      </c>
      <c r="B33" s="13">
        <f>'[1]Materials Properties'!$B$8*'[1]Materials Properties'!$B$9^3/12</f>
        <v>2500</v>
      </c>
      <c r="C33" s="14">
        <f>A33*'[1]Materials Properties'!$B$7^2/2</f>
        <v>62500</v>
      </c>
      <c r="D33" s="13">
        <f>C33*('[1]Materials Properties'!$B$9/2)/B33</f>
        <v>125</v>
      </c>
      <c r="E33" s="15">
        <f>A33*'[1]Materials Properties'!$B$7^4/(8*'[1]Materials Properties'!$B$3*B33)</f>
        <v>22.644927536231883</v>
      </c>
      <c r="F33" s="13">
        <f>'[1]Materials Properties'!$C$3/D33</f>
        <v>2.2080000000000002</v>
      </c>
    </row>
    <row r="34" spans="1:6" x14ac:dyDescent="0.3">
      <c r="A34" s="19">
        <v>0.6</v>
      </c>
      <c r="B34" s="13">
        <f>'[1]Materials Properties'!$B$8*'[1]Materials Properties'!$B$9^3/12</f>
        <v>2500</v>
      </c>
      <c r="C34" s="14">
        <f>A34*'[1]Materials Properties'!$B$7^2/2</f>
        <v>75000</v>
      </c>
      <c r="D34" s="13">
        <f>C34*('[1]Materials Properties'!$B$9/2)/B34</f>
        <v>150</v>
      </c>
      <c r="E34" s="15">
        <f>A34*'[1]Materials Properties'!$B$7^4/(8*'[1]Materials Properties'!$B$3*B34)</f>
        <v>27.173913043478262</v>
      </c>
      <c r="F34" s="13">
        <f>'[1]Materials Properties'!$C$3/D34</f>
        <v>1.84</v>
      </c>
    </row>
    <row r="35" spans="1:6" x14ac:dyDescent="0.3">
      <c r="A35" s="19">
        <v>0.7</v>
      </c>
      <c r="B35" s="13">
        <f>'[1]Materials Properties'!$B$8*'[1]Materials Properties'!$B$9^3/12</f>
        <v>2500</v>
      </c>
      <c r="C35" s="14">
        <f>A35*'[1]Materials Properties'!$B$7^2/2</f>
        <v>87500</v>
      </c>
      <c r="D35" s="13">
        <f>C35*('[1]Materials Properties'!$B$9/2)/B35</f>
        <v>175</v>
      </c>
      <c r="E35" s="15">
        <f>A35*'[1]Materials Properties'!$B$7^4/(8*'[1]Materials Properties'!$B$3*B35)</f>
        <v>31.702898550724637</v>
      </c>
      <c r="F35" s="13">
        <f>'[1]Materials Properties'!$C$3/D35</f>
        <v>1.5771428571428572</v>
      </c>
    </row>
    <row r="36" spans="1:6" x14ac:dyDescent="0.3">
      <c r="A36" s="19">
        <v>0.8</v>
      </c>
      <c r="B36" s="13">
        <f>'[1]Materials Properties'!$B$8*'[1]Materials Properties'!$B$9^3/12</f>
        <v>2500</v>
      </c>
      <c r="C36" s="14">
        <f>A36*'[1]Materials Properties'!$B$7^2/2</f>
        <v>100000</v>
      </c>
      <c r="D36" s="13">
        <f>C36*('[1]Materials Properties'!$B$9/2)/B36</f>
        <v>200</v>
      </c>
      <c r="E36" s="15">
        <f>A36*'[1]Materials Properties'!$B$7^4/(8*'[1]Materials Properties'!$B$3*B36)</f>
        <v>36.231884057971016</v>
      </c>
      <c r="F36" s="13">
        <f>'[1]Materials Properties'!$C$3/D36</f>
        <v>1.38</v>
      </c>
    </row>
    <row r="37" spans="1:6" x14ac:dyDescent="0.3">
      <c r="A37" s="19">
        <v>0.9</v>
      </c>
      <c r="B37" s="13">
        <f>'[1]Materials Properties'!$B$8*'[1]Materials Properties'!$B$9^3/12</f>
        <v>2500</v>
      </c>
      <c r="C37" s="14">
        <f>A37*'[1]Materials Properties'!$B$7^2/2</f>
        <v>112500</v>
      </c>
      <c r="D37" s="13">
        <f>C37*('[1]Materials Properties'!$B$9/2)/B37</f>
        <v>225</v>
      </c>
      <c r="E37" s="15">
        <f>A37*'[1]Materials Properties'!$B$7^4/(8*'[1]Materials Properties'!$B$3*B37)</f>
        <v>40.760869565217391</v>
      </c>
      <c r="F37" s="13">
        <f>'[1]Materials Properties'!$C$3/D37</f>
        <v>1.2266666666666666</v>
      </c>
    </row>
    <row r="38" spans="1:6" x14ac:dyDescent="0.3">
      <c r="A38" s="19">
        <v>1</v>
      </c>
      <c r="B38" s="13">
        <f>'[1]Materials Properties'!$B$8*'[1]Materials Properties'!$B$9^3/12</f>
        <v>2500</v>
      </c>
      <c r="C38" s="14">
        <f>A38*'[1]Materials Properties'!$B$7^2/2</f>
        <v>125000</v>
      </c>
      <c r="D38" s="13">
        <f>C38*('[1]Materials Properties'!$B$9/2)/B38</f>
        <v>250</v>
      </c>
      <c r="E38" s="15">
        <f>A38*'[1]Materials Properties'!$B$7^4/(8*'[1]Materials Properties'!$B$3*B38)</f>
        <v>45.289855072463766</v>
      </c>
      <c r="F38" s="13">
        <f>'[1]Materials Properties'!$C$3/D38</f>
        <v>1.1040000000000001</v>
      </c>
    </row>
    <row r="39" spans="1:6" x14ac:dyDescent="0.3">
      <c r="A39" s="19">
        <v>1.1000000000000001</v>
      </c>
      <c r="B39" s="13">
        <f>'[1]Materials Properties'!$B$8*'[1]Materials Properties'!$B$9^3/12</f>
        <v>2500</v>
      </c>
      <c r="C39" s="14">
        <f>A39*'[1]Materials Properties'!$B$7^2/2</f>
        <v>137500</v>
      </c>
      <c r="D39" s="13">
        <f>C39*('[1]Materials Properties'!$B$9/2)/B39</f>
        <v>275</v>
      </c>
      <c r="E39" s="15">
        <f>A39*'[1]Materials Properties'!$B$7^4/(8*'[1]Materials Properties'!$B$3*B39)</f>
        <v>49.818840579710148</v>
      </c>
      <c r="F39" s="13">
        <f>'[1]Materials Properties'!$C$3/D39</f>
        <v>1.0036363636363637</v>
      </c>
    </row>
    <row r="40" spans="1:6" x14ac:dyDescent="0.3">
      <c r="A40" s="19">
        <v>1.2</v>
      </c>
      <c r="B40" s="13">
        <f>'[1]Materials Properties'!$B$8*'[1]Materials Properties'!$B$9^3/12</f>
        <v>2500</v>
      </c>
      <c r="C40" s="14">
        <f>A40*'[1]Materials Properties'!$B$7^2/2</f>
        <v>150000</v>
      </c>
      <c r="D40" s="13">
        <f>C40*('[1]Materials Properties'!$B$9/2)/B40</f>
        <v>300</v>
      </c>
      <c r="E40" s="15">
        <f>A40*'[1]Materials Properties'!$B$7^4/(8*'[1]Materials Properties'!$B$3*B40)</f>
        <v>54.347826086956523</v>
      </c>
      <c r="F40" s="13">
        <f>'[1]Materials Properties'!$C$3/D40</f>
        <v>0.92</v>
      </c>
    </row>
    <row r="41" spans="1:6" x14ac:dyDescent="0.3">
      <c r="A41" s="19">
        <v>1.3</v>
      </c>
      <c r="B41" s="13">
        <f>'[1]Materials Properties'!$B$8*'[1]Materials Properties'!$B$9^3/12</f>
        <v>2500</v>
      </c>
      <c r="C41" s="14">
        <f>A41*'[1]Materials Properties'!$B$7^2/2</f>
        <v>162500</v>
      </c>
      <c r="D41" s="13">
        <f>C41*('[1]Materials Properties'!$B$9/2)/B41</f>
        <v>325</v>
      </c>
      <c r="E41" s="15">
        <f>A41*'[1]Materials Properties'!$B$7^4/(8*'[1]Materials Properties'!$B$3*B41)</f>
        <v>58.876811594202898</v>
      </c>
      <c r="F41" s="13">
        <f>'[1]Materials Properties'!$C$3/D41</f>
        <v>0.84923076923076923</v>
      </c>
    </row>
    <row r="42" spans="1:6" x14ac:dyDescent="0.3">
      <c r="A42" s="19">
        <v>1.4</v>
      </c>
      <c r="B42" s="13">
        <f>'[1]Materials Properties'!$B$8*'[1]Materials Properties'!$B$9^3/12</f>
        <v>2500</v>
      </c>
      <c r="C42" s="14">
        <f>A42*'[1]Materials Properties'!$B$7^2/2</f>
        <v>175000</v>
      </c>
      <c r="D42" s="13">
        <f>C42*('[1]Materials Properties'!$B$9/2)/B42</f>
        <v>350</v>
      </c>
      <c r="E42" s="15">
        <f>A42*'[1]Materials Properties'!$B$7^4/(8*'[1]Materials Properties'!$B$3*B42)</f>
        <v>63.405797101449274</v>
      </c>
      <c r="F42" s="13">
        <f>'[1]Materials Properties'!$C$3/D42</f>
        <v>0.78857142857142859</v>
      </c>
    </row>
    <row r="43" spans="1:6" x14ac:dyDescent="0.3">
      <c r="A43" s="19">
        <v>1.5</v>
      </c>
      <c r="B43" s="13">
        <f>'[1]Materials Properties'!$B$8*'[1]Materials Properties'!$B$9^3/12</f>
        <v>2500</v>
      </c>
      <c r="C43" s="14">
        <f>A43*'[1]Materials Properties'!$B$7^2/2</f>
        <v>187500</v>
      </c>
      <c r="D43" s="13">
        <f>C43*('[1]Materials Properties'!$B$9/2)/B43</f>
        <v>375</v>
      </c>
      <c r="E43" s="15">
        <f>A43*'[1]Materials Properties'!$B$7^4/(8*'[1]Materials Properties'!$B$3*B43)</f>
        <v>67.934782608695656</v>
      </c>
      <c r="F43" s="13">
        <f>'[1]Materials Properties'!$C$3/D43</f>
        <v>0.73599999999999999</v>
      </c>
    </row>
    <row r="44" spans="1:6" x14ac:dyDescent="0.3">
      <c r="A44" s="19">
        <v>1.6</v>
      </c>
      <c r="B44" s="13">
        <f>'[1]Materials Properties'!$B$8*'[1]Materials Properties'!$B$9^3/12</f>
        <v>2500</v>
      </c>
      <c r="C44" s="14">
        <f>A44*'[1]Materials Properties'!$B$7^2/2</f>
        <v>200000</v>
      </c>
      <c r="D44" s="13">
        <f>C44*('[1]Materials Properties'!$B$9/2)/B44</f>
        <v>400</v>
      </c>
      <c r="E44" s="15">
        <f>A44*'[1]Materials Properties'!$B$7^4/(8*'[1]Materials Properties'!$B$3*B44)</f>
        <v>72.463768115942031</v>
      </c>
      <c r="F44" s="13">
        <f>'[1]Materials Properties'!$C$3/D44</f>
        <v>0.69</v>
      </c>
    </row>
    <row r="45" spans="1:6" x14ac:dyDescent="0.3">
      <c r="A45" s="19">
        <v>1.7</v>
      </c>
      <c r="B45" s="13">
        <f>'[1]Materials Properties'!$B$8*'[1]Materials Properties'!$B$9^3/12</f>
        <v>2500</v>
      </c>
      <c r="C45" s="14">
        <f>A45*'[1]Materials Properties'!$B$7^2/2</f>
        <v>212500</v>
      </c>
      <c r="D45" s="13">
        <f>C45*('[1]Materials Properties'!$B$9/2)/B45</f>
        <v>425</v>
      </c>
      <c r="E45" s="15">
        <f>A45*'[1]Materials Properties'!$B$7^4/(8*'[1]Materials Properties'!$B$3*B45)</f>
        <v>76.992753623188406</v>
      </c>
      <c r="F45" s="13">
        <f>'[1]Materials Properties'!$C$3/D45</f>
        <v>0.64941176470588236</v>
      </c>
    </row>
    <row r="46" spans="1:6" x14ac:dyDescent="0.3">
      <c r="A46" s="19">
        <v>1.8</v>
      </c>
      <c r="B46" s="13">
        <f>'[1]Materials Properties'!$B$8*'[1]Materials Properties'!$B$9^3/12</f>
        <v>2500</v>
      </c>
      <c r="C46" s="14">
        <f>A46*'[1]Materials Properties'!$B$7^2/2</f>
        <v>225000</v>
      </c>
      <c r="D46" s="13">
        <f>C46*('[1]Materials Properties'!$B$9/2)/B46</f>
        <v>450</v>
      </c>
      <c r="E46" s="15">
        <f>A46*'[1]Materials Properties'!$B$7^4/(8*'[1]Materials Properties'!$B$3*B46)</f>
        <v>81.521739130434781</v>
      </c>
      <c r="F46" s="13">
        <f>'[1]Materials Properties'!$C$3/D46</f>
        <v>0.61333333333333329</v>
      </c>
    </row>
    <row r="47" spans="1:6" x14ac:dyDescent="0.3">
      <c r="A47" s="19">
        <v>1.9</v>
      </c>
      <c r="B47" s="13">
        <f>'[1]Materials Properties'!$B$8*'[1]Materials Properties'!$B$9^3/12</f>
        <v>2500</v>
      </c>
      <c r="C47" s="14">
        <f>A47*'[1]Materials Properties'!$B$7^2/2</f>
        <v>237500</v>
      </c>
      <c r="D47" s="13">
        <f>C47*('[1]Materials Properties'!$B$9/2)/B47</f>
        <v>475</v>
      </c>
      <c r="E47" s="15">
        <f>A47*'[1]Materials Properties'!$B$7^4/(8*'[1]Materials Properties'!$B$3*B47)</f>
        <v>86.050724637681157</v>
      </c>
      <c r="F47" s="13">
        <f>'[1]Materials Properties'!$C$3/D47</f>
        <v>0.58105263157894738</v>
      </c>
    </row>
    <row r="48" spans="1:6" x14ac:dyDescent="0.3">
      <c r="A48" s="19">
        <v>2</v>
      </c>
      <c r="B48" s="13">
        <f>'[1]Materials Properties'!$B$8*'[1]Materials Properties'!$B$9^3/12</f>
        <v>2500</v>
      </c>
      <c r="C48" s="14">
        <f>A48*'[1]Materials Properties'!$B$7^2/2</f>
        <v>250000</v>
      </c>
      <c r="D48" s="13">
        <f>C48*('[1]Materials Properties'!$B$9/2)/B48</f>
        <v>500</v>
      </c>
      <c r="E48" s="15">
        <f>A48*'[1]Materials Properties'!$B$7^4/(8*'[1]Materials Properties'!$B$3*B48)</f>
        <v>90.579710144927532</v>
      </c>
      <c r="F48" s="13">
        <f>'[1]Materials Properties'!$C$3/D48</f>
        <v>0.55200000000000005</v>
      </c>
    </row>
    <row r="50" spans="1:6" x14ac:dyDescent="0.3">
      <c r="A50" s="17" t="s">
        <v>21</v>
      </c>
      <c r="B50" s="8"/>
      <c r="C50" s="8"/>
      <c r="D50" s="8"/>
      <c r="E50" s="8"/>
      <c r="F50" s="8"/>
    </row>
    <row r="51" spans="1:6" ht="26.4" x14ac:dyDescent="0.3">
      <c r="A51" s="4" t="s">
        <v>24</v>
      </c>
      <c r="B51" s="4" t="s">
        <v>12</v>
      </c>
      <c r="C51" s="4" t="s">
        <v>13</v>
      </c>
      <c r="D51" s="4" t="s">
        <v>14</v>
      </c>
      <c r="E51" s="4" t="s">
        <v>15</v>
      </c>
      <c r="F51" s="4" t="s">
        <v>11</v>
      </c>
    </row>
    <row r="52" spans="1:6" x14ac:dyDescent="0.3">
      <c r="A52" s="19">
        <v>0.1</v>
      </c>
      <c r="B52" s="13">
        <f>'[1]Materials Properties'!$B$8*'[1]Materials Properties'!$B$9^3/12</f>
        <v>2500</v>
      </c>
      <c r="C52" s="14">
        <f>A52*'[1]Materials Properties'!$B$7^2/2</f>
        <v>12500</v>
      </c>
      <c r="D52" s="13">
        <f>C52*('[1]Materials Properties'!$B$9/2)/B52</f>
        <v>25</v>
      </c>
      <c r="E52" s="15">
        <f>A52*'[1]Materials Properties'!$B$7^4/(8*'[1]Materials Properties'!$B$4*B52)</f>
        <v>2.6709401709401708</v>
      </c>
      <c r="F52" s="13">
        <f>'[1]Materials Properties'!$C$4/D52</f>
        <v>2.8</v>
      </c>
    </row>
    <row r="53" spans="1:6" x14ac:dyDescent="0.3">
      <c r="A53" s="19">
        <v>0.2</v>
      </c>
      <c r="B53" s="13">
        <f>'[1]Materials Properties'!$B$8*'[1]Materials Properties'!$B$9^3/12</f>
        <v>2500</v>
      </c>
      <c r="C53" s="14">
        <f>A53*'[1]Materials Properties'!$B$7^2/2</f>
        <v>25000</v>
      </c>
      <c r="D53" s="13">
        <f>C53*('[1]Materials Properties'!$B$9/2)/B53</f>
        <v>50</v>
      </c>
      <c r="E53" s="15">
        <f>A53*'[1]Materials Properties'!$B$7^4/(8*'[1]Materials Properties'!$B$4*B53)</f>
        <v>5.3418803418803416</v>
      </c>
      <c r="F53" s="13">
        <f>'[1]Materials Properties'!$C$4/D53</f>
        <v>1.4</v>
      </c>
    </row>
    <row r="54" spans="1:6" x14ac:dyDescent="0.3">
      <c r="A54" s="19">
        <v>0.3</v>
      </c>
      <c r="B54" s="13">
        <f>'[1]Materials Properties'!$B$8*'[1]Materials Properties'!$B$9^3/12</f>
        <v>2500</v>
      </c>
      <c r="C54" s="14">
        <f>A54*'[1]Materials Properties'!$B$7^2/2</f>
        <v>37500</v>
      </c>
      <c r="D54" s="13">
        <f>C54*('[1]Materials Properties'!$B$9/2)/B54</f>
        <v>75</v>
      </c>
      <c r="E54" s="15">
        <f>A54*'[1]Materials Properties'!$B$7^4/(8*'[1]Materials Properties'!$B$4*B54)</f>
        <v>8.0128205128205128</v>
      </c>
      <c r="F54" s="13">
        <f>'[1]Materials Properties'!$C$4/D54</f>
        <v>0.93333333333333335</v>
      </c>
    </row>
    <row r="55" spans="1:6" x14ac:dyDescent="0.3">
      <c r="A55" s="19">
        <v>0.4</v>
      </c>
      <c r="B55" s="13">
        <f>'[1]Materials Properties'!$B$8*'[1]Materials Properties'!$B$9^3/12</f>
        <v>2500</v>
      </c>
      <c r="C55" s="14">
        <f>A55*'[1]Materials Properties'!$B$7^2/2</f>
        <v>50000</v>
      </c>
      <c r="D55" s="13">
        <f>C55*('[1]Materials Properties'!$B$9/2)/B55</f>
        <v>100</v>
      </c>
      <c r="E55" s="15">
        <f>A55*'[1]Materials Properties'!$B$7^4/(8*'[1]Materials Properties'!$B$4*B55)</f>
        <v>10.683760683760683</v>
      </c>
      <c r="F55" s="13">
        <f>'[1]Materials Properties'!$C$4/D55</f>
        <v>0.7</v>
      </c>
    </row>
    <row r="56" spans="1:6" x14ac:dyDescent="0.3">
      <c r="A56" s="19">
        <v>0.5</v>
      </c>
      <c r="B56" s="13">
        <f>'[1]Materials Properties'!$B$8*'[1]Materials Properties'!$B$9^3/12</f>
        <v>2500</v>
      </c>
      <c r="C56" s="14">
        <f>A56*'[1]Materials Properties'!$B$7^2/2</f>
        <v>62500</v>
      </c>
      <c r="D56" s="13">
        <f>C56*('[1]Materials Properties'!$B$9/2)/B56</f>
        <v>125</v>
      </c>
      <c r="E56" s="15">
        <f>A56*'[1]Materials Properties'!$B$7^4/(8*'[1]Materials Properties'!$B$4*B56)</f>
        <v>13.354700854700855</v>
      </c>
      <c r="F56" s="13">
        <f>'[1]Materials Properties'!$C$4/D56</f>
        <v>0.56000000000000005</v>
      </c>
    </row>
    <row r="57" spans="1:6" x14ac:dyDescent="0.3">
      <c r="A57" s="19">
        <v>0.6</v>
      </c>
      <c r="B57" s="13">
        <f>'[1]Materials Properties'!$B$8*'[1]Materials Properties'!$B$9^3/12</f>
        <v>2500</v>
      </c>
      <c r="C57" s="14">
        <f>A57*'[1]Materials Properties'!$B$7^2/2</f>
        <v>75000</v>
      </c>
      <c r="D57" s="13">
        <f>C57*('[1]Materials Properties'!$B$9/2)/B57</f>
        <v>150</v>
      </c>
      <c r="E57" s="15">
        <f>A57*'[1]Materials Properties'!$B$7^4/(8*'[1]Materials Properties'!$B$4*B57)</f>
        <v>16.025641025641026</v>
      </c>
      <c r="F57" s="13">
        <f>'[1]Materials Properties'!$C$4/D57</f>
        <v>0.46666666666666667</v>
      </c>
    </row>
    <row r="58" spans="1:6" x14ac:dyDescent="0.3">
      <c r="A58" s="19">
        <v>0.7</v>
      </c>
      <c r="B58" s="13">
        <f>'[1]Materials Properties'!$B$8*'[1]Materials Properties'!$B$9^3/12</f>
        <v>2500</v>
      </c>
      <c r="C58" s="14">
        <f>A58*'[1]Materials Properties'!$B$7^2/2</f>
        <v>87500</v>
      </c>
      <c r="D58" s="13">
        <f>C58*('[1]Materials Properties'!$B$9/2)/B58</f>
        <v>175</v>
      </c>
      <c r="E58" s="15">
        <f>A58*'[1]Materials Properties'!$B$7^4/(8*'[1]Materials Properties'!$B$4*B58)</f>
        <v>18.696581196581196</v>
      </c>
      <c r="F58" s="13">
        <f>'[1]Materials Properties'!$C$4/D58</f>
        <v>0.4</v>
      </c>
    </row>
    <row r="59" spans="1:6" x14ac:dyDescent="0.3">
      <c r="A59" s="19">
        <v>0.8</v>
      </c>
      <c r="B59" s="13">
        <f>'[1]Materials Properties'!$B$8*'[1]Materials Properties'!$B$9^3/12</f>
        <v>2500</v>
      </c>
      <c r="C59" s="14">
        <f>A59*'[1]Materials Properties'!$B$7^2/2</f>
        <v>100000</v>
      </c>
      <c r="D59" s="13">
        <f>C59*('[1]Materials Properties'!$B$9/2)/B59</f>
        <v>200</v>
      </c>
      <c r="E59" s="15">
        <f>A59*'[1]Materials Properties'!$B$7^4/(8*'[1]Materials Properties'!$B$4*B59)</f>
        <v>21.367521367521366</v>
      </c>
      <c r="F59" s="13">
        <f>'[1]Materials Properties'!$C$4/D59</f>
        <v>0.35</v>
      </c>
    </row>
    <row r="60" spans="1:6" x14ac:dyDescent="0.3">
      <c r="A60" s="19">
        <v>0.9</v>
      </c>
      <c r="B60" s="13">
        <f>'[1]Materials Properties'!$B$8*'[1]Materials Properties'!$B$9^3/12</f>
        <v>2500</v>
      </c>
      <c r="C60" s="14">
        <f>A60*'[1]Materials Properties'!$B$7^2/2</f>
        <v>112500</v>
      </c>
      <c r="D60" s="13">
        <f>C60*('[1]Materials Properties'!$B$9/2)/B60</f>
        <v>225</v>
      </c>
      <c r="E60" s="15">
        <f>A60*'[1]Materials Properties'!$B$7^4/(8*'[1]Materials Properties'!$B$4*B60)</f>
        <v>24.03846153846154</v>
      </c>
      <c r="F60" s="13">
        <f>'[1]Materials Properties'!$C$4/D60</f>
        <v>0.31111111111111112</v>
      </c>
    </row>
    <row r="61" spans="1:6" x14ac:dyDescent="0.3">
      <c r="A61" s="19">
        <v>1</v>
      </c>
      <c r="B61" s="13">
        <f>'[1]Materials Properties'!$B$8*'[1]Materials Properties'!$B$9^3/12</f>
        <v>2500</v>
      </c>
      <c r="C61" s="14">
        <f>A61*'[1]Materials Properties'!$B$7^2/2</f>
        <v>125000</v>
      </c>
      <c r="D61" s="13">
        <f>C61*('[1]Materials Properties'!$B$9/2)/B61</f>
        <v>250</v>
      </c>
      <c r="E61" s="15">
        <f>A61*'[1]Materials Properties'!$B$7^4/(8*'[1]Materials Properties'!$B$4*B61)</f>
        <v>26.70940170940171</v>
      </c>
      <c r="F61" s="13">
        <f>'[1]Materials Properties'!$C$4/D61</f>
        <v>0.28000000000000003</v>
      </c>
    </row>
    <row r="62" spans="1:6" x14ac:dyDescent="0.3">
      <c r="A62" s="19">
        <v>1.1000000000000001</v>
      </c>
      <c r="B62" s="13">
        <f>'[1]Materials Properties'!$B$8*'[1]Materials Properties'!$B$9^3/12</f>
        <v>2500</v>
      </c>
      <c r="C62" s="14">
        <f>A62*'[1]Materials Properties'!$B$7^2/2</f>
        <v>137500</v>
      </c>
      <c r="D62" s="13">
        <f>C62*('[1]Materials Properties'!$B$9/2)/B62</f>
        <v>275</v>
      </c>
      <c r="E62" s="15">
        <f>A62*'[1]Materials Properties'!$B$7^4/(8*'[1]Materials Properties'!$B$4*B62)</f>
        <v>29.380341880341881</v>
      </c>
      <c r="F62" s="13">
        <f>'[1]Materials Properties'!$C$4/D62</f>
        <v>0.25454545454545452</v>
      </c>
    </row>
    <row r="63" spans="1:6" x14ac:dyDescent="0.3">
      <c r="A63" s="19">
        <v>1.2</v>
      </c>
      <c r="B63" s="13">
        <f>'[1]Materials Properties'!$B$8*'[1]Materials Properties'!$B$9^3/12</f>
        <v>2500</v>
      </c>
      <c r="C63" s="14">
        <f>A63*'[1]Materials Properties'!$B$7^2/2</f>
        <v>150000</v>
      </c>
      <c r="D63" s="13">
        <f>C63*('[1]Materials Properties'!$B$9/2)/B63</f>
        <v>300</v>
      </c>
      <c r="E63" s="15">
        <f>A63*'[1]Materials Properties'!$B$7^4/(8*'[1]Materials Properties'!$B$4*B63)</f>
        <v>32.051282051282051</v>
      </c>
      <c r="F63" s="13">
        <f>'[1]Materials Properties'!$C$4/D63</f>
        <v>0.23333333333333334</v>
      </c>
    </row>
    <row r="64" spans="1:6" x14ac:dyDescent="0.3">
      <c r="A64" s="19">
        <v>1.3</v>
      </c>
      <c r="B64" s="13">
        <f>'[1]Materials Properties'!$B$8*'[1]Materials Properties'!$B$9^3/12</f>
        <v>2500</v>
      </c>
      <c r="C64" s="14">
        <f>A64*'[1]Materials Properties'!$B$7^2/2</f>
        <v>162500</v>
      </c>
      <c r="D64" s="13">
        <f>C64*('[1]Materials Properties'!$B$9/2)/B64</f>
        <v>325</v>
      </c>
      <c r="E64" s="15">
        <f>A64*'[1]Materials Properties'!$B$7^4/(8*'[1]Materials Properties'!$B$4*B64)</f>
        <v>34.722222222222221</v>
      </c>
      <c r="F64" s="13">
        <f>'[1]Materials Properties'!$C$4/D64</f>
        <v>0.2153846153846154</v>
      </c>
    </row>
    <row r="65" spans="1:6" x14ac:dyDescent="0.3">
      <c r="A65" s="19">
        <v>1.4</v>
      </c>
      <c r="B65" s="13">
        <f>'[1]Materials Properties'!$B$8*'[1]Materials Properties'!$B$9^3/12</f>
        <v>2500</v>
      </c>
      <c r="C65" s="14">
        <f>A65*'[1]Materials Properties'!$B$7^2/2</f>
        <v>175000</v>
      </c>
      <c r="D65" s="13">
        <f>C65*('[1]Materials Properties'!$B$9/2)/B65</f>
        <v>350</v>
      </c>
      <c r="E65" s="15">
        <f>A65*'[1]Materials Properties'!$B$7^4/(8*'[1]Materials Properties'!$B$4*B65)</f>
        <v>37.393162393162392</v>
      </c>
      <c r="F65" s="13">
        <f>'[1]Materials Properties'!$C$4/D65</f>
        <v>0.2</v>
      </c>
    </row>
    <row r="66" spans="1:6" x14ac:dyDescent="0.3">
      <c r="A66" s="19">
        <v>1.5</v>
      </c>
      <c r="B66" s="13">
        <f>'[1]Materials Properties'!$B$8*'[1]Materials Properties'!$B$9^3/12</f>
        <v>2500</v>
      </c>
      <c r="C66" s="14">
        <f>A66*'[1]Materials Properties'!$B$7^2/2</f>
        <v>187500</v>
      </c>
      <c r="D66" s="13">
        <f>C66*('[1]Materials Properties'!$B$9/2)/B66</f>
        <v>375</v>
      </c>
      <c r="E66" s="15">
        <f>A66*'[1]Materials Properties'!$B$7^4/(8*'[1]Materials Properties'!$B$4*B66)</f>
        <v>40.064102564102562</v>
      </c>
      <c r="F66" s="13">
        <f>'[1]Materials Properties'!$C$4/D66</f>
        <v>0.18666666666666668</v>
      </c>
    </row>
    <row r="67" spans="1:6" x14ac:dyDescent="0.3">
      <c r="A67" s="19">
        <v>1.6</v>
      </c>
      <c r="B67" s="13">
        <f>'[1]Materials Properties'!$B$8*'[1]Materials Properties'!$B$9^3/12</f>
        <v>2500</v>
      </c>
      <c r="C67" s="14">
        <f>A67*'[1]Materials Properties'!$B$7^2/2</f>
        <v>200000</v>
      </c>
      <c r="D67" s="13">
        <f>C67*('[1]Materials Properties'!$B$9/2)/B67</f>
        <v>400</v>
      </c>
      <c r="E67" s="15">
        <f>A67*'[1]Materials Properties'!$B$7^4/(8*'[1]Materials Properties'!$B$4*B67)</f>
        <v>42.735042735042732</v>
      </c>
      <c r="F67" s="13">
        <f>'[1]Materials Properties'!$C$4/D67</f>
        <v>0.17499999999999999</v>
      </c>
    </row>
    <row r="68" spans="1:6" x14ac:dyDescent="0.3">
      <c r="A68" s="19">
        <v>1.7</v>
      </c>
      <c r="B68" s="13">
        <f>'[1]Materials Properties'!$B$8*'[1]Materials Properties'!$B$9^3/12</f>
        <v>2500</v>
      </c>
      <c r="C68" s="14">
        <f>A68*'[1]Materials Properties'!$B$7^2/2</f>
        <v>212500</v>
      </c>
      <c r="D68" s="13">
        <f>C68*('[1]Materials Properties'!$B$9/2)/B68</f>
        <v>425</v>
      </c>
      <c r="E68" s="15">
        <f>A68*'[1]Materials Properties'!$B$7^4/(8*'[1]Materials Properties'!$B$4*B68)</f>
        <v>45.405982905982903</v>
      </c>
      <c r="F68" s="13">
        <f>'[1]Materials Properties'!$C$4/D68</f>
        <v>0.16470588235294117</v>
      </c>
    </row>
    <row r="69" spans="1:6" x14ac:dyDescent="0.3">
      <c r="A69" s="19">
        <v>1.8</v>
      </c>
      <c r="B69" s="13">
        <f>'[1]Materials Properties'!$B$8*'[1]Materials Properties'!$B$9^3/12</f>
        <v>2500</v>
      </c>
      <c r="C69" s="14">
        <f>A69*'[1]Materials Properties'!$B$7^2/2</f>
        <v>225000</v>
      </c>
      <c r="D69" s="13">
        <f>C69*('[1]Materials Properties'!$B$9/2)/B69</f>
        <v>450</v>
      </c>
      <c r="E69" s="15">
        <f>A69*'[1]Materials Properties'!$B$7^4/(8*'[1]Materials Properties'!$B$4*B69)</f>
        <v>48.07692307692308</v>
      </c>
      <c r="F69" s="13">
        <f>'[1]Materials Properties'!$C$4/D69</f>
        <v>0.15555555555555556</v>
      </c>
    </row>
    <row r="70" spans="1:6" x14ac:dyDescent="0.3">
      <c r="A70" s="19">
        <v>1.9</v>
      </c>
      <c r="B70" s="13">
        <f>'[1]Materials Properties'!$B$8*'[1]Materials Properties'!$B$9^3/12</f>
        <v>2500</v>
      </c>
      <c r="C70" s="14">
        <f>A70*'[1]Materials Properties'!$B$7^2/2</f>
        <v>237500</v>
      </c>
      <c r="D70" s="13">
        <f>C70*('[1]Materials Properties'!$B$9/2)/B70</f>
        <v>475</v>
      </c>
      <c r="E70" s="15">
        <f>A70*'[1]Materials Properties'!$B$7^4/(8*'[1]Materials Properties'!$B$4*B70)</f>
        <v>50.747863247863251</v>
      </c>
      <c r="F70" s="13">
        <f>'[1]Materials Properties'!$C$4/D70</f>
        <v>0.14736842105263157</v>
      </c>
    </row>
    <row r="71" spans="1:6" x14ac:dyDescent="0.3">
      <c r="A71" s="19">
        <v>2</v>
      </c>
      <c r="B71" s="13">
        <f>'[1]Materials Properties'!$B$8*'[1]Materials Properties'!$B$9^3/12</f>
        <v>2500</v>
      </c>
      <c r="C71" s="14">
        <f>A71*'[1]Materials Properties'!$B$7^2/2</f>
        <v>250000</v>
      </c>
      <c r="D71" s="13">
        <f>C71*('[1]Materials Properties'!$B$9/2)/B71</f>
        <v>500</v>
      </c>
      <c r="E71" s="15">
        <f>A71*'[1]Materials Properties'!$B$7^4/(8*'[1]Materials Properties'!$B$4*B71)</f>
        <v>53.418803418803421</v>
      </c>
      <c r="F71" s="13">
        <f>'[1]Materials Properties'!$C$4/D71</f>
        <v>0.14000000000000001</v>
      </c>
    </row>
    <row r="73" spans="1:6" x14ac:dyDescent="0.3">
      <c r="A73" s="18" t="s">
        <v>22</v>
      </c>
      <c r="B73" s="8"/>
      <c r="C73" s="8"/>
      <c r="D73" s="8"/>
      <c r="E73" s="8"/>
      <c r="F73" s="8"/>
    </row>
    <row r="74" spans="1:6" ht="26.4" x14ac:dyDescent="0.3">
      <c r="A74" s="4" t="s">
        <v>24</v>
      </c>
      <c r="B74" s="4" t="s">
        <v>12</v>
      </c>
      <c r="C74" s="4" t="s">
        <v>13</v>
      </c>
      <c r="D74" s="4" t="s">
        <v>14</v>
      </c>
      <c r="E74" s="4" t="s">
        <v>15</v>
      </c>
      <c r="F74" s="4" t="s">
        <v>11</v>
      </c>
    </row>
    <row r="75" spans="1:6" x14ac:dyDescent="0.3">
      <c r="A75" s="19">
        <v>0.1</v>
      </c>
      <c r="B75" s="13">
        <f>'[1]Materials Properties'!$B$8*'[1]Materials Properties'!$B$9^3/12</f>
        <v>2500</v>
      </c>
      <c r="C75" s="14">
        <f>A75*'[1]Materials Properties'!$B$7^2/2</f>
        <v>12500</v>
      </c>
      <c r="D75" s="13">
        <f>C75*('[1]Materials Properties'!$B$9/2)/B75</f>
        <v>25</v>
      </c>
      <c r="E75" s="15">
        <f>A75*'[1]Materials Properties'!$B$7^4/(8*'[1]Materials Properties'!$B$5*B75)</f>
        <v>135.86956521739131</v>
      </c>
      <c r="F75" s="13">
        <f>'[1]Materials Properties'!$C$5/D75</f>
        <v>1.6</v>
      </c>
    </row>
    <row r="76" spans="1:6" x14ac:dyDescent="0.3">
      <c r="A76" s="19">
        <v>0.2</v>
      </c>
      <c r="B76" s="13">
        <f>'[1]Materials Properties'!$B$8*'[1]Materials Properties'!$B$9^3/12</f>
        <v>2500</v>
      </c>
      <c r="C76" s="14">
        <f>A76*'[1]Materials Properties'!$B$7^2/2</f>
        <v>25000</v>
      </c>
      <c r="D76" s="13">
        <f>C76*('[1]Materials Properties'!$B$9/2)/B76</f>
        <v>50</v>
      </c>
      <c r="E76" s="15">
        <f>A76*'[1]Materials Properties'!$B$7^4/(8*'[1]Materials Properties'!$B$5*B76)</f>
        <v>271.73913043478262</v>
      </c>
      <c r="F76" s="13">
        <f>'[1]Materials Properties'!$C$5/D76</f>
        <v>0.8</v>
      </c>
    </row>
    <row r="77" spans="1:6" x14ac:dyDescent="0.3">
      <c r="A77" s="19">
        <v>0.3</v>
      </c>
      <c r="B77" s="13">
        <f>'[1]Materials Properties'!$B$8*'[1]Materials Properties'!$B$9^3/12</f>
        <v>2500</v>
      </c>
      <c r="C77" s="14">
        <f>A77*'[1]Materials Properties'!$B$7^2/2</f>
        <v>37500</v>
      </c>
      <c r="D77" s="13">
        <f>C77*('[1]Materials Properties'!$B$9/2)/B77</f>
        <v>75</v>
      </c>
      <c r="E77" s="15">
        <f>A77*'[1]Materials Properties'!$B$7^4/(8*'[1]Materials Properties'!$B$5*B77)</f>
        <v>407.60869565217394</v>
      </c>
      <c r="F77" s="13">
        <f>'[1]Materials Properties'!$C$5/D77</f>
        <v>0.53333333333333333</v>
      </c>
    </row>
    <row r="78" spans="1:6" x14ac:dyDescent="0.3">
      <c r="A78" s="19">
        <v>0.4</v>
      </c>
      <c r="B78" s="13">
        <f>'[1]Materials Properties'!$B$8*'[1]Materials Properties'!$B$9^3/12</f>
        <v>2500</v>
      </c>
      <c r="C78" s="14">
        <f>A78*'[1]Materials Properties'!$B$7^2/2</f>
        <v>50000</v>
      </c>
      <c r="D78" s="13">
        <f>C78*('[1]Materials Properties'!$B$9/2)/B78</f>
        <v>100</v>
      </c>
      <c r="E78" s="15">
        <f>A78*'[1]Materials Properties'!$B$7^4/(8*'[1]Materials Properties'!$B$5*B78)</f>
        <v>543.47826086956525</v>
      </c>
      <c r="F78" s="13">
        <f>'[1]Materials Properties'!$C$5/D78</f>
        <v>0.4</v>
      </c>
    </row>
    <row r="79" spans="1:6" x14ac:dyDescent="0.3">
      <c r="A79" s="19">
        <v>0.5</v>
      </c>
      <c r="B79" s="13">
        <f>'[1]Materials Properties'!$B$8*'[1]Materials Properties'!$B$9^3/12</f>
        <v>2500</v>
      </c>
      <c r="C79" s="14">
        <f>A79*'[1]Materials Properties'!$B$7^2/2</f>
        <v>62500</v>
      </c>
      <c r="D79" s="13">
        <f>C79*('[1]Materials Properties'!$B$9/2)/B79</f>
        <v>125</v>
      </c>
      <c r="E79" s="15">
        <f>A79*'[1]Materials Properties'!$B$7^4/(8*'[1]Materials Properties'!$B$5*B79)</f>
        <v>679.3478260869565</v>
      </c>
      <c r="F79" s="13">
        <f>'[1]Materials Properties'!$C$5/D79</f>
        <v>0.32</v>
      </c>
    </row>
    <row r="80" spans="1:6" x14ac:dyDescent="0.3">
      <c r="A80" s="19">
        <v>0.6</v>
      </c>
      <c r="B80" s="13">
        <f>'[1]Materials Properties'!$B$8*'[1]Materials Properties'!$B$9^3/12</f>
        <v>2500</v>
      </c>
      <c r="C80" s="14">
        <f>A80*'[1]Materials Properties'!$B$7^2/2</f>
        <v>75000</v>
      </c>
      <c r="D80" s="13">
        <f>C80*('[1]Materials Properties'!$B$9/2)/B80</f>
        <v>150</v>
      </c>
      <c r="E80" s="15">
        <f>A80*'[1]Materials Properties'!$B$7^4/(8*'[1]Materials Properties'!$B$5*B80)</f>
        <v>815.21739130434787</v>
      </c>
      <c r="F80" s="13">
        <f>'[1]Materials Properties'!$C$5/D80</f>
        <v>0.26666666666666666</v>
      </c>
    </row>
    <row r="81" spans="1:6" x14ac:dyDescent="0.3">
      <c r="A81" s="19">
        <v>0.7</v>
      </c>
      <c r="B81" s="13">
        <f>'[1]Materials Properties'!$B$8*'[1]Materials Properties'!$B$9^3/12</f>
        <v>2500</v>
      </c>
      <c r="C81" s="14">
        <f>A81*'[1]Materials Properties'!$B$7^2/2</f>
        <v>87500</v>
      </c>
      <c r="D81" s="13">
        <f>C81*('[1]Materials Properties'!$B$9/2)/B81</f>
        <v>175</v>
      </c>
      <c r="E81" s="15">
        <f>A81*'[1]Materials Properties'!$B$7^4/(8*'[1]Materials Properties'!$B$5*B81)</f>
        <v>951.08695652173913</v>
      </c>
      <c r="F81" s="13">
        <f>'[1]Materials Properties'!$C$5/D81</f>
        <v>0.22857142857142856</v>
      </c>
    </row>
    <row r="82" spans="1:6" x14ac:dyDescent="0.3">
      <c r="A82" s="19">
        <v>0.8</v>
      </c>
      <c r="B82" s="13">
        <f>'[1]Materials Properties'!$B$8*'[1]Materials Properties'!$B$9^3/12</f>
        <v>2500</v>
      </c>
      <c r="C82" s="14">
        <f>A82*'[1]Materials Properties'!$B$7^2/2</f>
        <v>100000</v>
      </c>
      <c r="D82" s="13">
        <f>C82*('[1]Materials Properties'!$B$9/2)/B82</f>
        <v>200</v>
      </c>
      <c r="E82" s="15">
        <f>A82*'[1]Materials Properties'!$B$7^4/(8*'[1]Materials Properties'!$B$5*B82)</f>
        <v>1086.9565217391305</v>
      </c>
      <c r="F82" s="13">
        <f>'[1]Materials Properties'!$C$5/D82</f>
        <v>0.2</v>
      </c>
    </row>
    <row r="83" spans="1:6" x14ac:dyDescent="0.3">
      <c r="A83" s="19">
        <v>0.9</v>
      </c>
      <c r="B83" s="13">
        <f>'[1]Materials Properties'!$B$8*'[1]Materials Properties'!$B$9^3/12</f>
        <v>2500</v>
      </c>
      <c r="C83" s="14">
        <f>A83*'[1]Materials Properties'!$B$7^2/2</f>
        <v>112500</v>
      </c>
      <c r="D83" s="13">
        <f>C83*('[1]Materials Properties'!$B$9/2)/B83</f>
        <v>225</v>
      </c>
      <c r="E83" s="15">
        <f>A83*'[1]Materials Properties'!$B$7^4/(8*'[1]Materials Properties'!$B$5*B83)</f>
        <v>1222.8260869565217</v>
      </c>
      <c r="F83" s="13">
        <f>'[1]Materials Properties'!$C$5/D83</f>
        <v>0.17777777777777778</v>
      </c>
    </row>
    <row r="84" spans="1:6" x14ac:dyDescent="0.3">
      <c r="A84" s="19">
        <v>1</v>
      </c>
      <c r="B84" s="13">
        <f>'[1]Materials Properties'!$B$8*'[1]Materials Properties'!$B$9^3/12</f>
        <v>2500</v>
      </c>
      <c r="C84" s="14">
        <f>A84*'[1]Materials Properties'!$B$7^2/2</f>
        <v>125000</v>
      </c>
      <c r="D84" s="13">
        <f>C84*('[1]Materials Properties'!$B$9/2)/B84</f>
        <v>250</v>
      </c>
      <c r="E84" s="15">
        <f>A84*'[1]Materials Properties'!$B$7^4/(8*'[1]Materials Properties'!$B$5*B84)</f>
        <v>1358.695652173913</v>
      </c>
      <c r="F84" s="13">
        <f>'[1]Materials Properties'!$C$5/D84</f>
        <v>0.16</v>
      </c>
    </row>
    <row r="85" spans="1:6" x14ac:dyDescent="0.3">
      <c r="A85" s="19">
        <v>1.1000000000000001</v>
      </c>
      <c r="B85" s="13">
        <f>'[1]Materials Properties'!$B$8*'[1]Materials Properties'!$B$9^3/12</f>
        <v>2500</v>
      </c>
      <c r="C85" s="14">
        <f>A85*'[1]Materials Properties'!$B$7^2/2</f>
        <v>137500</v>
      </c>
      <c r="D85" s="13">
        <f>C85*('[1]Materials Properties'!$B$9/2)/B85</f>
        <v>275</v>
      </c>
      <c r="E85" s="15">
        <f>A85*'[1]Materials Properties'!$B$7^4/(8*'[1]Materials Properties'!$B$5*B85)</f>
        <v>1494.5652173913043</v>
      </c>
      <c r="F85" s="13">
        <f>'[1]Materials Properties'!$C$5/D85</f>
        <v>0.14545454545454545</v>
      </c>
    </row>
    <row r="86" spans="1:6" x14ac:dyDescent="0.3">
      <c r="A86" s="19">
        <v>1.2</v>
      </c>
      <c r="B86" s="13">
        <f>'[1]Materials Properties'!$B$8*'[1]Materials Properties'!$B$9^3/12</f>
        <v>2500</v>
      </c>
      <c r="C86" s="14">
        <f>A86*'[1]Materials Properties'!$B$7^2/2</f>
        <v>150000</v>
      </c>
      <c r="D86" s="13">
        <f>C86*('[1]Materials Properties'!$B$9/2)/B86</f>
        <v>300</v>
      </c>
      <c r="E86" s="15">
        <f>A86*'[1]Materials Properties'!$B$7^4/(8*'[1]Materials Properties'!$B$5*B86)</f>
        <v>1630.4347826086957</v>
      </c>
      <c r="F86" s="13">
        <f>'[1]Materials Properties'!$C$5/D86</f>
        <v>0.13333333333333333</v>
      </c>
    </row>
    <row r="87" spans="1:6" x14ac:dyDescent="0.3">
      <c r="A87" s="19">
        <v>1.3</v>
      </c>
      <c r="B87" s="13">
        <f>'[1]Materials Properties'!$B$8*'[1]Materials Properties'!$B$9^3/12</f>
        <v>2500</v>
      </c>
      <c r="C87" s="14">
        <f>A87*'[1]Materials Properties'!$B$7^2/2</f>
        <v>162500</v>
      </c>
      <c r="D87" s="13">
        <f>C87*('[1]Materials Properties'!$B$9/2)/B87</f>
        <v>325</v>
      </c>
      <c r="E87" s="15">
        <f>A87*'[1]Materials Properties'!$B$7^4/(8*'[1]Materials Properties'!$B$5*B87)</f>
        <v>1766.304347826087</v>
      </c>
      <c r="F87" s="13">
        <f>'[1]Materials Properties'!$C$5/D87</f>
        <v>0.12307692307692308</v>
      </c>
    </row>
    <row r="88" spans="1:6" x14ac:dyDescent="0.3">
      <c r="A88" s="19">
        <v>1.4</v>
      </c>
      <c r="B88" s="13">
        <f>'[1]Materials Properties'!$B$8*'[1]Materials Properties'!$B$9^3/12</f>
        <v>2500</v>
      </c>
      <c r="C88" s="14">
        <f>A88*'[1]Materials Properties'!$B$7^2/2</f>
        <v>175000</v>
      </c>
      <c r="D88" s="13">
        <f>C88*('[1]Materials Properties'!$B$9/2)/B88</f>
        <v>350</v>
      </c>
      <c r="E88" s="15">
        <f>A88*'[1]Materials Properties'!$B$7^4/(8*'[1]Materials Properties'!$B$5*B88)</f>
        <v>1902.1739130434783</v>
      </c>
      <c r="F88" s="13">
        <f>'[1]Materials Properties'!$C$5/D88</f>
        <v>0.11428571428571428</v>
      </c>
    </row>
    <row r="89" spans="1:6" x14ac:dyDescent="0.3">
      <c r="A89" s="19">
        <v>1.5</v>
      </c>
      <c r="B89" s="13">
        <f>'[1]Materials Properties'!$B$8*'[1]Materials Properties'!$B$9^3/12</f>
        <v>2500</v>
      </c>
      <c r="C89" s="14">
        <f>A89*'[1]Materials Properties'!$B$7^2/2</f>
        <v>187500</v>
      </c>
      <c r="D89" s="13">
        <f>C89*('[1]Materials Properties'!$B$9/2)/B89</f>
        <v>375</v>
      </c>
      <c r="E89" s="15">
        <f>A89*'[1]Materials Properties'!$B$7^4/(8*'[1]Materials Properties'!$B$5*B89)</f>
        <v>2038.0434782608695</v>
      </c>
      <c r="F89" s="13">
        <f>'[1]Materials Properties'!$C$5/D89</f>
        <v>0.10666666666666667</v>
      </c>
    </row>
    <row r="90" spans="1:6" x14ac:dyDescent="0.3">
      <c r="A90" s="19">
        <v>1.6</v>
      </c>
      <c r="B90" s="13">
        <f>'[1]Materials Properties'!$B$8*'[1]Materials Properties'!$B$9^3/12</f>
        <v>2500</v>
      </c>
      <c r="C90" s="14">
        <f>A90*'[1]Materials Properties'!$B$7^2/2</f>
        <v>200000</v>
      </c>
      <c r="D90" s="13">
        <f>C90*('[1]Materials Properties'!$B$9/2)/B90</f>
        <v>400</v>
      </c>
      <c r="E90" s="15">
        <f>A90*'[1]Materials Properties'!$B$7^4/(8*'[1]Materials Properties'!$B$5*B90)</f>
        <v>2173.913043478261</v>
      </c>
      <c r="F90" s="13">
        <f>'[1]Materials Properties'!$C$5/D90</f>
        <v>0.1</v>
      </c>
    </row>
    <row r="91" spans="1:6" x14ac:dyDescent="0.3">
      <c r="A91" s="19">
        <v>1.7</v>
      </c>
      <c r="B91" s="13">
        <f>'[1]Materials Properties'!$B$8*'[1]Materials Properties'!$B$9^3/12</f>
        <v>2500</v>
      </c>
      <c r="C91" s="14">
        <f>A91*'[1]Materials Properties'!$B$7^2/2</f>
        <v>212500</v>
      </c>
      <c r="D91" s="13">
        <f>C91*('[1]Materials Properties'!$B$9/2)/B91</f>
        <v>425</v>
      </c>
      <c r="E91" s="15">
        <f>A91*'[1]Materials Properties'!$B$7^4/(8*'[1]Materials Properties'!$B$5*B91)</f>
        <v>2309.782608695652</v>
      </c>
      <c r="F91" s="13">
        <f>'[1]Materials Properties'!$C$5/D91</f>
        <v>9.4117647058823528E-2</v>
      </c>
    </row>
    <row r="92" spans="1:6" x14ac:dyDescent="0.3">
      <c r="A92" s="19">
        <v>1.8</v>
      </c>
      <c r="B92" s="13">
        <f>'[1]Materials Properties'!$B$8*'[1]Materials Properties'!$B$9^3/12</f>
        <v>2500</v>
      </c>
      <c r="C92" s="14">
        <f>A92*'[1]Materials Properties'!$B$7^2/2</f>
        <v>225000</v>
      </c>
      <c r="D92" s="13">
        <f>C92*('[1]Materials Properties'!$B$9/2)/B92</f>
        <v>450</v>
      </c>
      <c r="E92" s="15">
        <f>A92*'[1]Materials Properties'!$B$7^4/(8*'[1]Materials Properties'!$B$5*B92)</f>
        <v>2445.6521739130435</v>
      </c>
      <c r="F92" s="13">
        <f>'[1]Materials Properties'!$C$5/D92</f>
        <v>8.8888888888888892E-2</v>
      </c>
    </row>
    <row r="93" spans="1:6" x14ac:dyDescent="0.3">
      <c r="A93" s="19">
        <v>1.9</v>
      </c>
      <c r="B93" s="13">
        <f>'[1]Materials Properties'!$B$8*'[1]Materials Properties'!$B$9^3/12</f>
        <v>2500</v>
      </c>
      <c r="C93" s="14">
        <f>A93*'[1]Materials Properties'!$B$7^2/2</f>
        <v>237500</v>
      </c>
      <c r="D93" s="13">
        <f>C93*('[1]Materials Properties'!$B$9/2)/B93</f>
        <v>475</v>
      </c>
      <c r="E93" s="15">
        <f>A93*'[1]Materials Properties'!$B$7^4/(8*'[1]Materials Properties'!$B$5*B93)</f>
        <v>2581.521739130435</v>
      </c>
      <c r="F93" s="13">
        <f>'[1]Materials Properties'!$C$5/D93</f>
        <v>8.4210526315789472E-2</v>
      </c>
    </row>
    <row r="94" spans="1:6" x14ac:dyDescent="0.3">
      <c r="A94" s="19">
        <v>2</v>
      </c>
      <c r="B94" s="13">
        <f>'[1]Materials Properties'!$B$8*'[1]Materials Properties'!$B$9^3/12</f>
        <v>2500</v>
      </c>
      <c r="C94" s="14">
        <f>A94*'[1]Materials Properties'!$B$7^2/2</f>
        <v>250000</v>
      </c>
      <c r="D94" s="13">
        <f>C94*('[1]Materials Properties'!$B$9/2)/B94</f>
        <v>500</v>
      </c>
      <c r="E94" s="15">
        <f>A94*'[1]Materials Properties'!$B$7^4/(8*'[1]Materials Properties'!$B$5*B94)</f>
        <v>2717.391304347826</v>
      </c>
      <c r="F94" s="13">
        <f>'[1]Materials Properties'!$C$5/D94</f>
        <v>0.08</v>
      </c>
    </row>
  </sheetData>
  <mergeCells count="6">
    <mergeCell ref="A1:F1"/>
    <mergeCell ref="A2:F2"/>
    <mergeCell ref="A4:F4"/>
    <mergeCell ref="A27:F27"/>
    <mergeCell ref="A50:F50"/>
    <mergeCell ref="A73:F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446D-F8AA-41D1-941D-F4AFEBE977B3}">
  <dimension ref="A1:F94"/>
  <sheetViews>
    <sheetView topLeftCell="A73" workbookViewId="0">
      <selection activeCell="E75" sqref="E75:E94"/>
    </sheetView>
  </sheetViews>
  <sheetFormatPr defaultRowHeight="14.4" x14ac:dyDescent="0.3"/>
  <cols>
    <col min="3" max="3" width="14" customWidth="1"/>
    <col min="4" max="4" width="11.109375" customWidth="1"/>
  </cols>
  <sheetData>
    <row r="1" spans="1:6" ht="16.8" x14ac:dyDescent="0.3">
      <c r="A1" s="9" t="s">
        <v>28</v>
      </c>
      <c r="B1" s="8"/>
      <c r="C1" s="8"/>
      <c r="D1" s="8"/>
      <c r="E1" s="8"/>
      <c r="F1" s="8"/>
    </row>
    <row r="2" spans="1:6" x14ac:dyDescent="0.3">
      <c r="A2" s="10" t="s">
        <v>25</v>
      </c>
      <c r="B2" s="8"/>
      <c r="C2" s="8"/>
      <c r="D2" s="8"/>
      <c r="E2" s="8"/>
      <c r="F2" s="8"/>
    </row>
    <row r="4" spans="1:6" x14ac:dyDescent="0.3">
      <c r="A4" s="11" t="s">
        <v>18</v>
      </c>
      <c r="B4" s="8"/>
      <c r="C4" s="8"/>
      <c r="D4" s="8"/>
      <c r="E4" s="8"/>
      <c r="F4" s="8"/>
    </row>
    <row r="5" spans="1:6" ht="26.4" x14ac:dyDescent="0.3">
      <c r="A5" s="4" t="s">
        <v>19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11</v>
      </c>
    </row>
    <row r="6" spans="1:6" x14ac:dyDescent="0.3">
      <c r="A6" s="12">
        <v>10</v>
      </c>
      <c r="B6" s="13">
        <f>'[1]Materials Properties'!$B$8*'[1]Materials Properties'!$B$9^3/12</f>
        <v>2500</v>
      </c>
      <c r="C6" s="14">
        <f>A6*'[1]Materials Properties'!$B$7/4</f>
        <v>1250</v>
      </c>
      <c r="D6" s="13">
        <f>C6*('[1]Materials Properties'!$B$9/2)/B6</f>
        <v>2.5</v>
      </c>
      <c r="E6" s="15">
        <f>A6*'[1]Materials Properties'!$B$7^3/(48*'[1]Materials Properties'!$B$2*B6)</f>
        <v>5.2083333333333336E-2</v>
      </c>
      <c r="F6" s="13">
        <f>'[1]Materials Properties'!$C$2/D6</f>
        <v>100</v>
      </c>
    </row>
    <row r="7" spans="1:6" x14ac:dyDescent="0.3">
      <c r="A7" s="12">
        <v>20</v>
      </c>
      <c r="B7" s="13">
        <f>'[1]Materials Properties'!$B$8*'[1]Materials Properties'!$B$9^3/12</f>
        <v>2500</v>
      </c>
      <c r="C7" s="14">
        <f>A7*'[1]Materials Properties'!$B$7/4</f>
        <v>2500</v>
      </c>
      <c r="D7" s="13">
        <f>C7*('[1]Materials Properties'!$B$9/2)/B7</f>
        <v>5</v>
      </c>
      <c r="E7" s="15">
        <f>A7*'[1]Materials Properties'!$B$7^3/(48*'[1]Materials Properties'!$B$2*B7)</f>
        <v>0.10416666666666667</v>
      </c>
      <c r="F7" s="13">
        <f>'[1]Materials Properties'!$C$2/D7</f>
        <v>50</v>
      </c>
    </row>
    <row r="8" spans="1:6" x14ac:dyDescent="0.3">
      <c r="A8" s="12">
        <v>30</v>
      </c>
      <c r="B8" s="13">
        <f>'[1]Materials Properties'!$B$8*'[1]Materials Properties'!$B$9^3/12</f>
        <v>2500</v>
      </c>
      <c r="C8" s="14">
        <f>A8*'[1]Materials Properties'!$B$7/4</f>
        <v>3750</v>
      </c>
      <c r="D8" s="13">
        <f>C8*('[1]Materials Properties'!$B$9/2)/B8</f>
        <v>7.5</v>
      </c>
      <c r="E8" s="15">
        <f>A8*'[1]Materials Properties'!$B$7^3/(48*'[1]Materials Properties'!$B$2*B8)</f>
        <v>0.15625</v>
      </c>
      <c r="F8" s="13">
        <f>'[1]Materials Properties'!$C$2/D8</f>
        <v>33.333333333333336</v>
      </c>
    </row>
    <row r="9" spans="1:6" x14ac:dyDescent="0.3">
      <c r="A9" s="12">
        <v>40</v>
      </c>
      <c r="B9" s="13">
        <f>'[1]Materials Properties'!$B$8*'[1]Materials Properties'!$B$9^3/12</f>
        <v>2500</v>
      </c>
      <c r="C9" s="14">
        <f>A9*'[1]Materials Properties'!$B$7/4</f>
        <v>5000</v>
      </c>
      <c r="D9" s="13">
        <f>C9*('[1]Materials Properties'!$B$9/2)/B9</f>
        <v>10</v>
      </c>
      <c r="E9" s="15">
        <f>A9*'[1]Materials Properties'!$B$7^3/(48*'[1]Materials Properties'!$B$2*B9)</f>
        <v>0.20833333333333334</v>
      </c>
      <c r="F9" s="13">
        <f>'[1]Materials Properties'!$C$2/D9</f>
        <v>25</v>
      </c>
    </row>
    <row r="10" spans="1:6" x14ac:dyDescent="0.3">
      <c r="A10" s="12">
        <v>50</v>
      </c>
      <c r="B10" s="13">
        <f>'[1]Materials Properties'!$B$8*'[1]Materials Properties'!$B$9^3/12</f>
        <v>2500</v>
      </c>
      <c r="C10" s="14">
        <f>A10*'[1]Materials Properties'!$B$7/4</f>
        <v>6250</v>
      </c>
      <c r="D10" s="13">
        <f>C10*('[1]Materials Properties'!$B$9/2)/B10</f>
        <v>12.5</v>
      </c>
      <c r="E10" s="15">
        <f>A10*'[1]Materials Properties'!$B$7^3/(48*'[1]Materials Properties'!$B$2*B10)</f>
        <v>0.26041666666666669</v>
      </c>
      <c r="F10" s="13">
        <f>'[1]Materials Properties'!$C$2/D10</f>
        <v>20</v>
      </c>
    </row>
    <row r="11" spans="1:6" x14ac:dyDescent="0.3">
      <c r="A11" s="12">
        <v>60</v>
      </c>
      <c r="B11" s="13">
        <f>'[1]Materials Properties'!$B$8*'[1]Materials Properties'!$B$9^3/12</f>
        <v>2500</v>
      </c>
      <c r="C11" s="14">
        <f>A11*'[1]Materials Properties'!$B$7/4</f>
        <v>7500</v>
      </c>
      <c r="D11" s="13">
        <f>C11*('[1]Materials Properties'!$B$9/2)/B11</f>
        <v>15</v>
      </c>
      <c r="E11" s="15">
        <f>A11*'[1]Materials Properties'!$B$7^3/(48*'[1]Materials Properties'!$B$2*B11)</f>
        <v>0.3125</v>
      </c>
      <c r="F11" s="13">
        <f>'[1]Materials Properties'!$C$2/D11</f>
        <v>16.666666666666668</v>
      </c>
    </row>
    <row r="12" spans="1:6" x14ac:dyDescent="0.3">
      <c r="A12" s="12">
        <v>70</v>
      </c>
      <c r="B12" s="13">
        <f>'[1]Materials Properties'!$B$8*'[1]Materials Properties'!$B$9^3/12</f>
        <v>2500</v>
      </c>
      <c r="C12" s="14">
        <f>A12*'[1]Materials Properties'!$B$7/4</f>
        <v>8750</v>
      </c>
      <c r="D12" s="13">
        <f>C12*('[1]Materials Properties'!$B$9/2)/B12</f>
        <v>17.5</v>
      </c>
      <c r="E12" s="15">
        <f>A12*'[1]Materials Properties'!$B$7^3/(48*'[1]Materials Properties'!$B$2*B12)</f>
        <v>0.36458333333333331</v>
      </c>
      <c r="F12" s="13">
        <f>'[1]Materials Properties'!$C$2/D12</f>
        <v>14.285714285714286</v>
      </c>
    </row>
    <row r="13" spans="1:6" x14ac:dyDescent="0.3">
      <c r="A13" s="12">
        <v>80</v>
      </c>
      <c r="B13" s="13">
        <f>'[1]Materials Properties'!$B$8*'[1]Materials Properties'!$B$9^3/12</f>
        <v>2500</v>
      </c>
      <c r="C13" s="14">
        <f>A13*'[1]Materials Properties'!$B$7/4</f>
        <v>10000</v>
      </c>
      <c r="D13" s="13">
        <f>C13*('[1]Materials Properties'!$B$9/2)/B13</f>
        <v>20</v>
      </c>
      <c r="E13" s="15">
        <f>A13*'[1]Materials Properties'!$B$7^3/(48*'[1]Materials Properties'!$B$2*B13)</f>
        <v>0.41666666666666669</v>
      </c>
      <c r="F13" s="13">
        <f>'[1]Materials Properties'!$C$2/D13</f>
        <v>12.5</v>
      </c>
    </row>
    <row r="14" spans="1:6" x14ac:dyDescent="0.3">
      <c r="A14" s="12">
        <v>90</v>
      </c>
      <c r="B14" s="13">
        <f>'[1]Materials Properties'!$B$8*'[1]Materials Properties'!$B$9^3/12</f>
        <v>2500</v>
      </c>
      <c r="C14" s="14">
        <f>A14*'[1]Materials Properties'!$B$7/4</f>
        <v>11250</v>
      </c>
      <c r="D14" s="13">
        <f>C14*('[1]Materials Properties'!$B$9/2)/B14</f>
        <v>22.5</v>
      </c>
      <c r="E14" s="15">
        <f>A14*'[1]Materials Properties'!$B$7^3/(48*'[1]Materials Properties'!$B$2*B14)</f>
        <v>0.46875</v>
      </c>
      <c r="F14" s="13">
        <f>'[1]Materials Properties'!$C$2/D14</f>
        <v>11.111111111111111</v>
      </c>
    </row>
    <row r="15" spans="1:6" x14ac:dyDescent="0.3">
      <c r="A15" s="12">
        <v>100</v>
      </c>
      <c r="B15" s="13">
        <f>'[1]Materials Properties'!$B$8*'[1]Materials Properties'!$B$9^3/12</f>
        <v>2500</v>
      </c>
      <c r="C15" s="14">
        <f>A15*'[1]Materials Properties'!$B$7/4</f>
        <v>12500</v>
      </c>
      <c r="D15" s="13">
        <f>C15*('[1]Materials Properties'!$B$9/2)/B15</f>
        <v>25</v>
      </c>
      <c r="E15" s="15">
        <f>A15*'[1]Materials Properties'!$B$7^3/(48*'[1]Materials Properties'!$B$2*B15)</f>
        <v>0.52083333333333337</v>
      </c>
      <c r="F15" s="13">
        <f>'[1]Materials Properties'!$C$2/D15</f>
        <v>10</v>
      </c>
    </row>
    <row r="16" spans="1:6" x14ac:dyDescent="0.3">
      <c r="A16" s="12">
        <v>110</v>
      </c>
      <c r="B16" s="13">
        <f>'[1]Materials Properties'!$B$8*'[1]Materials Properties'!$B$9^3/12</f>
        <v>2500</v>
      </c>
      <c r="C16" s="14">
        <f>A16*'[1]Materials Properties'!$B$7/4</f>
        <v>13750</v>
      </c>
      <c r="D16" s="13">
        <f>C16*('[1]Materials Properties'!$B$9/2)/B16</f>
        <v>27.5</v>
      </c>
      <c r="E16" s="15">
        <f>A16*'[1]Materials Properties'!$B$7^3/(48*'[1]Materials Properties'!$B$2*B16)</f>
        <v>0.57291666666666663</v>
      </c>
      <c r="F16" s="13">
        <f>'[1]Materials Properties'!$C$2/D16</f>
        <v>9.0909090909090917</v>
      </c>
    </row>
    <row r="17" spans="1:6" x14ac:dyDescent="0.3">
      <c r="A17" s="12">
        <v>120</v>
      </c>
      <c r="B17" s="13">
        <f>'[1]Materials Properties'!$B$8*'[1]Materials Properties'!$B$9^3/12</f>
        <v>2500</v>
      </c>
      <c r="C17" s="14">
        <f>A17*'[1]Materials Properties'!$B$7/4</f>
        <v>15000</v>
      </c>
      <c r="D17" s="13">
        <f>C17*('[1]Materials Properties'!$B$9/2)/B17</f>
        <v>30</v>
      </c>
      <c r="E17" s="15">
        <f>A17*'[1]Materials Properties'!$B$7^3/(48*'[1]Materials Properties'!$B$2*B17)</f>
        <v>0.625</v>
      </c>
      <c r="F17" s="13">
        <f>'[1]Materials Properties'!$C$2/D17</f>
        <v>8.3333333333333339</v>
      </c>
    </row>
    <row r="18" spans="1:6" x14ac:dyDescent="0.3">
      <c r="A18" s="12">
        <v>130</v>
      </c>
      <c r="B18" s="13">
        <f>'[1]Materials Properties'!$B$8*'[1]Materials Properties'!$B$9^3/12</f>
        <v>2500</v>
      </c>
      <c r="C18" s="14">
        <f>A18*'[1]Materials Properties'!$B$7/4</f>
        <v>16250</v>
      </c>
      <c r="D18" s="13">
        <f>C18*('[1]Materials Properties'!$B$9/2)/B18</f>
        <v>32.5</v>
      </c>
      <c r="E18" s="15">
        <f>A18*'[1]Materials Properties'!$B$7^3/(48*'[1]Materials Properties'!$B$2*B18)</f>
        <v>0.67708333333333337</v>
      </c>
      <c r="F18" s="13">
        <f>'[1]Materials Properties'!$C$2/D18</f>
        <v>7.6923076923076925</v>
      </c>
    </row>
    <row r="19" spans="1:6" x14ac:dyDescent="0.3">
      <c r="A19" s="12">
        <v>140</v>
      </c>
      <c r="B19" s="13">
        <f>'[1]Materials Properties'!$B$8*'[1]Materials Properties'!$B$9^3/12</f>
        <v>2500</v>
      </c>
      <c r="C19" s="14">
        <f>A19*'[1]Materials Properties'!$B$7/4</f>
        <v>17500</v>
      </c>
      <c r="D19" s="13">
        <f>C19*('[1]Materials Properties'!$B$9/2)/B19</f>
        <v>35</v>
      </c>
      <c r="E19" s="15">
        <f>A19*'[1]Materials Properties'!$B$7^3/(48*'[1]Materials Properties'!$B$2*B19)</f>
        <v>0.72916666666666663</v>
      </c>
      <c r="F19" s="13">
        <f>'[1]Materials Properties'!$C$2/D19</f>
        <v>7.1428571428571432</v>
      </c>
    </row>
    <row r="20" spans="1:6" x14ac:dyDescent="0.3">
      <c r="A20" s="12">
        <v>150</v>
      </c>
      <c r="B20" s="13">
        <f>'[1]Materials Properties'!$B$8*'[1]Materials Properties'!$B$9^3/12</f>
        <v>2500</v>
      </c>
      <c r="C20" s="14">
        <f>A20*'[1]Materials Properties'!$B$7/4</f>
        <v>18750</v>
      </c>
      <c r="D20" s="13">
        <f>C20*('[1]Materials Properties'!$B$9/2)/B20</f>
        <v>37.5</v>
      </c>
      <c r="E20" s="15">
        <f>A20*'[1]Materials Properties'!$B$7^3/(48*'[1]Materials Properties'!$B$2*B20)</f>
        <v>0.78125</v>
      </c>
      <c r="F20" s="13">
        <f>'[1]Materials Properties'!$C$2/D20</f>
        <v>6.666666666666667</v>
      </c>
    </row>
    <row r="21" spans="1:6" x14ac:dyDescent="0.3">
      <c r="A21" s="12">
        <v>160</v>
      </c>
      <c r="B21" s="13">
        <f>'[1]Materials Properties'!$B$8*'[1]Materials Properties'!$B$9^3/12</f>
        <v>2500</v>
      </c>
      <c r="C21" s="14">
        <f>A21*'[1]Materials Properties'!$B$7/4</f>
        <v>20000</v>
      </c>
      <c r="D21" s="13">
        <f>C21*('[1]Materials Properties'!$B$9/2)/B21</f>
        <v>40</v>
      </c>
      <c r="E21" s="15">
        <f>A21*'[1]Materials Properties'!$B$7^3/(48*'[1]Materials Properties'!$B$2*B21)</f>
        <v>0.83333333333333337</v>
      </c>
      <c r="F21" s="13">
        <f>'[1]Materials Properties'!$C$2/D21</f>
        <v>6.25</v>
      </c>
    </row>
    <row r="22" spans="1:6" x14ac:dyDescent="0.3">
      <c r="A22" s="12">
        <v>170</v>
      </c>
      <c r="B22" s="13">
        <f>'[1]Materials Properties'!$B$8*'[1]Materials Properties'!$B$9^3/12</f>
        <v>2500</v>
      </c>
      <c r="C22" s="14">
        <f>A22*'[1]Materials Properties'!$B$7/4</f>
        <v>21250</v>
      </c>
      <c r="D22" s="13">
        <f>C22*('[1]Materials Properties'!$B$9/2)/B22</f>
        <v>42.5</v>
      </c>
      <c r="E22" s="15">
        <f>A22*'[1]Materials Properties'!$B$7^3/(48*'[1]Materials Properties'!$B$2*B22)</f>
        <v>0.88541666666666663</v>
      </c>
      <c r="F22" s="13">
        <f>'[1]Materials Properties'!$C$2/D22</f>
        <v>5.882352941176471</v>
      </c>
    </row>
    <row r="23" spans="1:6" x14ac:dyDescent="0.3">
      <c r="A23" s="12">
        <v>180</v>
      </c>
      <c r="B23" s="13">
        <f>'[1]Materials Properties'!$B$8*'[1]Materials Properties'!$B$9^3/12</f>
        <v>2500</v>
      </c>
      <c r="C23" s="14">
        <f>A23*'[1]Materials Properties'!$B$7/4</f>
        <v>22500</v>
      </c>
      <c r="D23" s="13">
        <f>C23*('[1]Materials Properties'!$B$9/2)/B23</f>
        <v>45</v>
      </c>
      <c r="E23" s="15">
        <f>A23*'[1]Materials Properties'!$B$7^3/(48*'[1]Materials Properties'!$B$2*B23)</f>
        <v>0.9375</v>
      </c>
      <c r="F23" s="13">
        <f>'[1]Materials Properties'!$C$2/D23</f>
        <v>5.5555555555555554</v>
      </c>
    </row>
    <row r="24" spans="1:6" x14ac:dyDescent="0.3">
      <c r="A24" s="12">
        <v>190</v>
      </c>
      <c r="B24" s="13">
        <f>'[1]Materials Properties'!$B$8*'[1]Materials Properties'!$B$9^3/12</f>
        <v>2500</v>
      </c>
      <c r="C24" s="14">
        <f>A24*'[1]Materials Properties'!$B$7/4</f>
        <v>23750</v>
      </c>
      <c r="D24" s="13">
        <f>C24*('[1]Materials Properties'!$B$9/2)/B24</f>
        <v>47.5</v>
      </c>
      <c r="E24" s="15">
        <f>A24*'[1]Materials Properties'!$B$7^3/(48*'[1]Materials Properties'!$B$2*B24)</f>
        <v>0.98958333333333337</v>
      </c>
      <c r="F24" s="13">
        <f>'[1]Materials Properties'!$C$2/D24</f>
        <v>5.2631578947368425</v>
      </c>
    </row>
    <row r="25" spans="1:6" x14ac:dyDescent="0.3">
      <c r="A25" s="12">
        <v>200</v>
      </c>
      <c r="B25" s="13">
        <f>'[1]Materials Properties'!$B$8*'[1]Materials Properties'!$B$9^3/12</f>
        <v>2500</v>
      </c>
      <c r="C25" s="14">
        <f>A25*'[1]Materials Properties'!$B$7/4</f>
        <v>25000</v>
      </c>
      <c r="D25" s="13">
        <f>C25*('[1]Materials Properties'!$B$9/2)/B25</f>
        <v>50</v>
      </c>
      <c r="E25" s="15">
        <f>A25*'[1]Materials Properties'!$B$7^3/(48*'[1]Materials Properties'!$B$2*B25)</f>
        <v>1.0416666666666667</v>
      </c>
      <c r="F25" s="13">
        <f>'[1]Materials Properties'!$C$2/D25</f>
        <v>5</v>
      </c>
    </row>
    <row r="27" spans="1:6" x14ac:dyDescent="0.3">
      <c r="A27" s="16" t="s">
        <v>20</v>
      </c>
      <c r="B27" s="8"/>
      <c r="C27" s="8"/>
      <c r="D27" s="8"/>
      <c r="E27" s="8"/>
      <c r="F27" s="8"/>
    </row>
    <row r="28" spans="1:6" ht="26.4" x14ac:dyDescent="0.3">
      <c r="A28" s="4" t="s">
        <v>19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11</v>
      </c>
    </row>
    <row r="29" spans="1:6" x14ac:dyDescent="0.3">
      <c r="A29" s="12">
        <v>10</v>
      </c>
      <c r="B29" s="13">
        <f>'[1]Materials Properties'!$B$8*'[1]Materials Properties'!$B$9^3/12</f>
        <v>2500</v>
      </c>
      <c r="C29" s="14">
        <f>A29*'[1]Materials Properties'!$B$7/4</f>
        <v>1250</v>
      </c>
      <c r="D29" s="13">
        <f>C29*('[1]Materials Properties'!$B$9/2)/B29</f>
        <v>2.5</v>
      </c>
      <c r="E29" s="15">
        <f>A29*'[1]Materials Properties'!$B$7^3/(48*'[1]Materials Properties'!$B$3*B29)</f>
        <v>0.15096618357487923</v>
      </c>
      <c r="F29" s="13">
        <f>'[1]Materials Properties'!$C$3/D29</f>
        <v>110.4</v>
      </c>
    </row>
    <row r="30" spans="1:6" x14ac:dyDescent="0.3">
      <c r="A30" s="12">
        <v>20</v>
      </c>
      <c r="B30" s="13">
        <f>'[1]Materials Properties'!$B$8*'[1]Materials Properties'!$B$9^3/12</f>
        <v>2500</v>
      </c>
      <c r="C30" s="14">
        <f>A30*'[1]Materials Properties'!$B$7/4</f>
        <v>2500</v>
      </c>
      <c r="D30" s="13">
        <f>C30*('[1]Materials Properties'!$B$9/2)/B30</f>
        <v>5</v>
      </c>
      <c r="E30" s="15">
        <f>A30*'[1]Materials Properties'!$B$7^3/(48*'[1]Materials Properties'!$B$3*B30)</f>
        <v>0.30193236714975846</v>
      </c>
      <c r="F30" s="13">
        <f>'[1]Materials Properties'!$C$3/D30</f>
        <v>55.2</v>
      </c>
    </row>
    <row r="31" spans="1:6" x14ac:dyDescent="0.3">
      <c r="A31" s="12">
        <v>30</v>
      </c>
      <c r="B31" s="13">
        <f>'[1]Materials Properties'!$B$8*'[1]Materials Properties'!$B$9^3/12</f>
        <v>2500</v>
      </c>
      <c r="C31" s="14">
        <f>A31*'[1]Materials Properties'!$B$7/4</f>
        <v>3750</v>
      </c>
      <c r="D31" s="13">
        <f>C31*('[1]Materials Properties'!$B$9/2)/B31</f>
        <v>7.5</v>
      </c>
      <c r="E31" s="15">
        <f>A31*'[1]Materials Properties'!$B$7^3/(48*'[1]Materials Properties'!$B$3*B31)</f>
        <v>0.45289855072463769</v>
      </c>
      <c r="F31" s="13">
        <f>'[1]Materials Properties'!$C$3/D31</f>
        <v>36.799999999999997</v>
      </c>
    </row>
    <row r="32" spans="1:6" x14ac:dyDescent="0.3">
      <c r="A32" s="12">
        <v>40</v>
      </c>
      <c r="B32" s="13">
        <f>'[1]Materials Properties'!$B$8*'[1]Materials Properties'!$B$9^3/12</f>
        <v>2500</v>
      </c>
      <c r="C32" s="14">
        <f>A32*'[1]Materials Properties'!$B$7/4</f>
        <v>5000</v>
      </c>
      <c r="D32" s="13">
        <f>C32*('[1]Materials Properties'!$B$9/2)/B32</f>
        <v>10</v>
      </c>
      <c r="E32" s="15">
        <f>A32*'[1]Materials Properties'!$B$7^3/(48*'[1]Materials Properties'!$B$3*B32)</f>
        <v>0.60386473429951693</v>
      </c>
      <c r="F32" s="13">
        <f>'[1]Materials Properties'!$C$3/D32</f>
        <v>27.6</v>
      </c>
    </row>
    <row r="33" spans="1:6" x14ac:dyDescent="0.3">
      <c r="A33" s="12">
        <v>50</v>
      </c>
      <c r="B33" s="13">
        <f>'[1]Materials Properties'!$B$8*'[1]Materials Properties'!$B$9^3/12</f>
        <v>2500</v>
      </c>
      <c r="C33" s="14">
        <f>A33*'[1]Materials Properties'!$B$7/4</f>
        <v>6250</v>
      </c>
      <c r="D33" s="13">
        <f>C33*('[1]Materials Properties'!$B$9/2)/B33</f>
        <v>12.5</v>
      </c>
      <c r="E33" s="15">
        <f>A33*'[1]Materials Properties'!$B$7^3/(48*'[1]Materials Properties'!$B$3*B33)</f>
        <v>0.75483091787439616</v>
      </c>
      <c r="F33" s="13">
        <f>'[1]Materials Properties'!$C$3/D33</f>
        <v>22.08</v>
      </c>
    </row>
    <row r="34" spans="1:6" x14ac:dyDescent="0.3">
      <c r="A34" s="12">
        <v>60</v>
      </c>
      <c r="B34" s="13">
        <f>'[1]Materials Properties'!$B$8*'[1]Materials Properties'!$B$9^3/12</f>
        <v>2500</v>
      </c>
      <c r="C34" s="14">
        <f>A34*'[1]Materials Properties'!$B$7/4</f>
        <v>7500</v>
      </c>
      <c r="D34" s="13">
        <f>C34*('[1]Materials Properties'!$B$9/2)/B34</f>
        <v>15</v>
      </c>
      <c r="E34" s="15">
        <f>A34*'[1]Materials Properties'!$B$7^3/(48*'[1]Materials Properties'!$B$3*B34)</f>
        <v>0.90579710144927539</v>
      </c>
      <c r="F34" s="13">
        <f>'[1]Materials Properties'!$C$3/D34</f>
        <v>18.399999999999999</v>
      </c>
    </row>
    <row r="35" spans="1:6" x14ac:dyDescent="0.3">
      <c r="A35" s="12">
        <v>70</v>
      </c>
      <c r="B35" s="13">
        <f>'[1]Materials Properties'!$B$8*'[1]Materials Properties'!$B$9^3/12</f>
        <v>2500</v>
      </c>
      <c r="C35" s="14">
        <f>A35*'[1]Materials Properties'!$B$7/4</f>
        <v>8750</v>
      </c>
      <c r="D35" s="13">
        <f>C35*('[1]Materials Properties'!$B$9/2)/B35</f>
        <v>17.5</v>
      </c>
      <c r="E35" s="15">
        <f>A35*'[1]Materials Properties'!$B$7^3/(48*'[1]Materials Properties'!$B$3*B35)</f>
        <v>1.0567632850241546</v>
      </c>
      <c r="F35" s="13">
        <f>'[1]Materials Properties'!$C$3/D35</f>
        <v>15.771428571428572</v>
      </c>
    </row>
    <row r="36" spans="1:6" x14ac:dyDescent="0.3">
      <c r="A36" s="12">
        <v>80</v>
      </c>
      <c r="B36" s="13">
        <f>'[1]Materials Properties'!$B$8*'[1]Materials Properties'!$B$9^3/12</f>
        <v>2500</v>
      </c>
      <c r="C36" s="14">
        <f>A36*'[1]Materials Properties'!$B$7/4</f>
        <v>10000</v>
      </c>
      <c r="D36" s="13">
        <f>C36*('[1]Materials Properties'!$B$9/2)/B36</f>
        <v>20</v>
      </c>
      <c r="E36" s="15">
        <f>A36*'[1]Materials Properties'!$B$7^3/(48*'[1]Materials Properties'!$B$3*B36)</f>
        <v>1.2077294685990339</v>
      </c>
      <c r="F36" s="13">
        <f>'[1]Materials Properties'!$C$3/D36</f>
        <v>13.8</v>
      </c>
    </row>
    <row r="37" spans="1:6" x14ac:dyDescent="0.3">
      <c r="A37" s="12">
        <v>90</v>
      </c>
      <c r="B37" s="13">
        <f>'[1]Materials Properties'!$B$8*'[1]Materials Properties'!$B$9^3/12</f>
        <v>2500</v>
      </c>
      <c r="C37" s="14">
        <f>A37*'[1]Materials Properties'!$B$7/4</f>
        <v>11250</v>
      </c>
      <c r="D37" s="13">
        <f>C37*('[1]Materials Properties'!$B$9/2)/B37</f>
        <v>22.5</v>
      </c>
      <c r="E37" s="15">
        <f>A37*'[1]Materials Properties'!$B$7^3/(48*'[1]Materials Properties'!$B$3*B37)</f>
        <v>1.3586956521739131</v>
      </c>
      <c r="F37" s="13">
        <f>'[1]Materials Properties'!$C$3/D37</f>
        <v>12.266666666666667</v>
      </c>
    </row>
    <row r="38" spans="1:6" x14ac:dyDescent="0.3">
      <c r="A38" s="12">
        <v>100</v>
      </c>
      <c r="B38" s="13">
        <f>'[1]Materials Properties'!$B$8*'[1]Materials Properties'!$B$9^3/12</f>
        <v>2500</v>
      </c>
      <c r="C38" s="14">
        <f>A38*'[1]Materials Properties'!$B$7/4</f>
        <v>12500</v>
      </c>
      <c r="D38" s="13">
        <f>C38*('[1]Materials Properties'!$B$9/2)/B38</f>
        <v>25</v>
      </c>
      <c r="E38" s="15">
        <f>A38*'[1]Materials Properties'!$B$7^3/(48*'[1]Materials Properties'!$B$3*B38)</f>
        <v>1.5096618357487923</v>
      </c>
      <c r="F38" s="13">
        <f>'[1]Materials Properties'!$C$3/D38</f>
        <v>11.04</v>
      </c>
    </row>
    <row r="39" spans="1:6" x14ac:dyDescent="0.3">
      <c r="A39" s="12">
        <v>110</v>
      </c>
      <c r="B39" s="13">
        <f>'[1]Materials Properties'!$B$8*'[1]Materials Properties'!$B$9^3/12</f>
        <v>2500</v>
      </c>
      <c r="C39" s="14">
        <f>A39*'[1]Materials Properties'!$B$7/4</f>
        <v>13750</v>
      </c>
      <c r="D39" s="13">
        <f>C39*('[1]Materials Properties'!$B$9/2)/B39</f>
        <v>27.5</v>
      </c>
      <c r="E39" s="15">
        <f>A39*'[1]Materials Properties'!$B$7^3/(48*'[1]Materials Properties'!$B$3*B39)</f>
        <v>1.6606280193236715</v>
      </c>
      <c r="F39" s="13">
        <f>'[1]Materials Properties'!$C$3/D39</f>
        <v>10.036363636363637</v>
      </c>
    </row>
    <row r="40" spans="1:6" x14ac:dyDescent="0.3">
      <c r="A40" s="12">
        <v>120</v>
      </c>
      <c r="B40" s="13">
        <f>'[1]Materials Properties'!$B$8*'[1]Materials Properties'!$B$9^3/12</f>
        <v>2500</v>
      </c>
      <c r="C40" s="14">
        <f>A40*'[1]Materials Properties'!$B$7/4</f>
        <v>15000</v>
      </c>
      <c r="D40" s="13">
        <f>C40*('[1]Materials Properties'!$B$9/2)/B40</f>
        <v>30</v>
      </c>
      <c r="E40" s="15">
        <f>A40*'[1]Materials Properties'!$B$7^3/(48*'[1]Materials Properties'!$B$3*B40)</f>
        <v>1.8115942028985508</v>
      </c>
      <c r="F40" s="13">
        <f>'[1]Materials Properties'!$C$3/D40</f>
        <v>9.1999999999999993</v>
      </c>
    </row>
    <row r="41" spans="1:6" x14ac:dyDescent="0.3">
      <c r="A41" s="12">
        <v>130</v>
      </c>
      <c r="B41" s="13">
        <f>'[1]Materials Properties'!$B$8*'[1]Materials Properties'!$B$9^3/12</f>
        <v>2500</v>
      </c>
      <c r="C41" s="14">
        <f>A41*'[1]Materials Properties'!$B$7/4</f>
        <v>16250</v>
      </c>
      <c r="D41" s="13">
        <f>C41*('[1]Materials Properties'!$B$9/2)/B41</f>
        <v>32.5</v>
      </c>
      <c r="E41" s="15">
        <f>A41*'[1]Materials Properties'!$B$7^3/(48*'[1]Materials Properties'!$B$3*B41)</f>
        <v>1.96256038647343</v>
      </c>
      <c r="F41" s="13">
        <f>'[1]Materials Properties'!$C$3/D41</f>
        <v>8.4923076923076923</v>
      </c>
    </row>
    <row r="42" spans="1:6" x14ac:dyDescent="0.3">
      <c r="A42" s="12">
        <v>140</v>
      </c>
      <c r="B42" s="13">
        <f>'[1]Materials Properties'!$B$8*'[1]Materials Properties'!$B$9^3/12</f>
        <v>2500</v>
      </c>
      <c r="C42" s="14">
        <f>A42*'[1]Materials Properties'!$B$7/4</f>
        <v>17500</v>
      </c>
      <c r="D42" s="13">
        <f>C42*('[1]Materials Properties'!$B$9/2)/B42</f>
        <v>35</v>
      </c>
      <c r="E42" s="15">
        <f>A42*'[1]Materials Properties'!$B$7^3/(48*'[1]Materials Properties'!$B$3*B42)</f>
        <v>2.1135265700483092</v>
      </c>
      <c r="F42" s="13">
        <f>'[1]Materials Properties'!$C$3/D42</f>
        <v>7.8857142857142861</v>
      </c>
    </row>
    <row r="43" spans="1:6" x14ac:dyDescent="0.3">
      <c r="A43" s="12">
        <v>150</v>
      </c>
      <c r="B43" s="13">
        <f>'[1]Materials Properties'!$B$8*'[1]Materials Properties'!$B$9^3/12</f>
        <v>2500</v>
      </c>
      <c r="C43" s="14">
        <f>A43*'[1]Materials Properties'!$B$7/4</f>
        <v>18750</v>
      </c>
      <c r="D43" s="13">
        <f>C43*('[1]Materials Properties'!$B$9/2)/B43</f>
        <v>37.5</v>
      </c>
      <c r="E43" s="15">
        <f>A43*'[1]Materials Properties'!$B$7^3/(48*'[1]Materials Properties'!$B$3*B43)</f>
        <v>2.2644927536231885</v>
      </c>
      <c r="F43" s="13">
        <f>'[1]Materials Properties'!$C$3/D43</f>
        <v>7.36</v>
      </c>
    </row>
    <row r="44" spans="1:6" x14ac:dyDescent="0.3">
      <c r="A44" s="12">
        <v>160</v>
      </c>
      <c r="B44" s="13">
        <f>'[1]Materials Properties'!$B$8*'[1]Materials Properties'!$B$9^3/12</f>
        <v>2500</v>
      </c>
      <c r="C44" s="14">
        <f>A44*'[1]Materials Properties'!$B$7/4</f>
        <v>20000</v>
      </c>
      <c r="D44" s="13">
        <f>C44*('[1]Materials Properties'!$B$9/2)/B44</f>
        <v>40</v>
      </c>
      <c r="E44" s="15">
        <f>A44*'[1]Materials Properties'!$B$7^3/(48*'[1]Materials Properties'!$B$3*B44)</f>
        <v>2.4154589371980677</v>
      </c>
      <c r="F44" s="13">
        <f>'[1]Materials Properties'!$C$3/D44</f>
        <v>6.9</v>
      </c>
    </row>
    <row r="45" spans="1:6" x14ac:dyDescent="0.3">
      <c r="A45" s="12">
        <v>170</v>
      </c>
      <c r="B45" s="13">
        <f>'[1]Materials Properties'!$B$8*'[1]Materials Properties'!$B$9^3/12</f>
        <v>2500</v>
      </c>
      <c r="C45" s="14">
        <f>A45*'[1]Materials Properties'!$B$7/4</f>
        <v>21250</v>
      </c>
      <c r="D45" s="13">
        <f>C45*('[1]Materials Properties'!$B$9/2)/B45</f>
        <v>42.5</v>
      </c>
      <c r="E45" s="15">
        <f>A45*'[1]Materials Properties'!$B$7^3/(48*'[1]Materials Properties'!$B$3*B45)</f>
        <v>2.5664251207729469</v>
      </c>
      <c r="F45" s="13">
        <f>'[1]Materials Properties'!$C$3/D45</f>
        <v>6.4941176470588236</v>
      </c>
    </row>
    <row r="46" spans="1:6" x14ac:dyDescent="0.3">
      <c r="A46" s="12">
        <v>180</v>
      </c>
      <c r="B46" s="13">
        <f>'[1]Materials Properties'!$B$8*'[1]Materials Properties'!$B$9^3/12</f>
        <v>2500</v>
      </c>
      <c r="C46" s="14">
        <f>A46*'[1]Materials Properties'!$B$7/4</f>
        <v>22500</v>
      </c>
      <c r="D46" s="13">
        <f>C46*('[1]Materials Properties'!$B$9/2)/B46</f>
        <v>45</v>
      </c>
      <c r="E46" s="15">
        <f>A46*'[1]Materials Properties'!$B$7^3/(48*'[1]Materials Properties'!$B$3*B46)</f>
        <v>2.7173913043478262</v>
      </c>
      <c r="F46" s="13">
        <f>'[1]Materials Properties'!$C$3/D46</f>
        <v>6.1333333333333337</v>
      </c>
    </row>
    <row r="47" spans="1:6" x14ac:dyDescent="0.3">
      <c r="A47" s="12">
        <v>190</v>
      </c>
      <c r="B47" s="13">
        <f>'[1]Materials Properties'!$B$8*'[1]Materials Properties'!$B$9^3/12</f>
        <v>2500</v>
      </c>
      <c r="C47" s="14">
        <f>A47*'[1]Materials Properties'!$B$7/4</f>
        <v>23750</v>
      </c>
      <c r="D47" s="13">
        <f>C47*('[1]Materials Properties'!$B$9/2)/B47</f>
        <v>47.5</v>
      </c>
      <c r="E47" s="15">
        <f>A47*'[1]Materials Properties'!$B$7^3/(48*'[1]Materials Properties'!$B$3*B47)</f>
        <v>2.8683574879227054</v>
      </c>
      <c r="F47" s="13">
        <f>'[1]Materials Properties'!$C$3/D47</f>
        <v>5.810526315789474</v>
      </c>
    </row>
    <row r="48" spans="1:6" x14ac:dyDescent="0.3">
      <c r="A48" s="12">
        <v>200</v>
      </c>
      <c r="B48" s="13">
        <f>'[1]Materials Properties'!$B$8*'[1]Materials Properties'!$B$9^3/12</f>
        <v>2500</v>
      </c>
      <c r="C48" s="14">
        <f>A48*'[1]Materials Properties'!$B$7/4</f>
        <v>25000</v>
      </c>
      <c r="D48" s="13">
        <f>C48*('[1]Materials Properties'!$B$9/2)/B48</f>
        <v>50</v>
      </c>
      <c r="E48" s="15">
        <f>A48*'[1]Materials Properties'!$B$7^3/(48*'[1]Materials Properties'!$B$3*B48)</f>
        <v>3.0193236714975846</v>
      </c>
      <c r="F48" s="13">
        <f>'[1]Materials Properties'!$C$3/D48</f>
        <v>5.52</v>
      </c>
    </row>
    <row r="50" spans="1:6" x14ac:dyDescent="0.3">
      <c r="A50" s="17" t="s">
        <v>21</v>
      </c>
      <c r="B50" s="8"/>
      <c r="C50" s="8"/>
      <c r="D50" s="8"/>
      <c r="E50" s="8"/>
      <c r="F50" s="8"/>
    </row>
    <row r="51" spans="1:6" ht="26.4" x14ac:dyDescent="0.3">
      <c r="A51" s="4" t="s">
        <v>19</v>
      </c>
      <c r="B51" s="4" t="s">
        <v>12</v>
      </c>
      <c r="C51" s="4" t="s">
        <v>13</v>
      </c>
      <c r="D51" s="4" t="s">
        <v>14</v>
      </c>
      <c r="E51" s="4" t="s">
        <v>15</v>
      </c>
      <c r="F51" s="4" t="s">
        <v>11</v>
      </c>
    </row>
    <row r="52" spans="1:6" x14ac:dyDescent="0.3">
      <c r="A52" s="12">
        <v>10</v>
      </c>
      <c r="B52" s="13">
        <f>'[1]Materials Properties'!$B$8*'[1]Materials Properties'!$B$9^3/12</f>
        <v>2500</v>
      </c>
      <c r="C52" s="14">
        <f>A52*'[1]Materials Properties'!$B$7/4</f>
        <v>1250</v>
      </c>
      <c r="D52" s="13">
        <f>C52*('[1]Materials Properties'!$B$9/2)/B52</f>
        <v>2.5</v>
      </c>
      <c r="E52" s="15">
        <f>A52*'[1]Materials Properties'!$B$7^3/(48*'[1]Materials Properties'!$B$4*B52)</f>
        <v>8.903133903133903E-2</v>
      </c>
      <c r="F52" s="13">
        <f>'[1]Materials Properties'!$C$4/D52</f>
        <v>28</v>
      </c>
    </row>
    <row r="53" spans="1:6" x14ac:dyDescent="0.3">
      <c r="A53" s="12">
        <v>20</v>
      </c>
      <c r="B53" s="13">
        <f>'[1]Materials Properties'!$B$8*'[1]Materials Properties'!$B$9^3/12</f>
        <v>2500</v>
      </c>
      <c r="C53" s="14">
        <f>A53*'[1]Materials Properties'!$B$7/4</f>
        <v>2500</v>
      </c>
      <c r="D53" s="13">
        <f>C53*('[1]Materials Properties'!$B$9/2)/B53</f>
        <v>5</v>
      </c>
      <c r="E53" s="15">
        <f>A53*'[1]Materials Properties'!$B$7^3/(48*'[1]Materials Properties'!$B$4*B53)</f>
        <v>0.17806267806267806</v>
      </c>
      <c r="F53" s="13">
        <f>'[1]Materials Properties'!$C$4/D53</f>
        <v>14</v>
      </c>
    </row>
    <row r="54" spans="1:6" x14ac:dyDescent="0.3">
      <c r="A54" s="12">
        <v>30</v>
      </c>
      <c r="B54" s="13">
        <f>'[1]Materials Properties'!$B$8*'[1]Materials Properties'!$B$9^3/12</f>
        <v>2500</v>
      </c>
      <c r="C54" s="14">
        <f>A54*'[1]Materials Properties'!$B$7/4</f>
        <v>3750</v>
      </c>
      <c r="D54" s="13">
        <f>C54*('[1]Materials Properties'!$B$9/2)/B54</f>
        <v>7.5</v>
      </c>
      <c r="E54" s="15">
        <f>A54*'[1]Materials Properties'!$B$7^3/(48*'[1]Materials Properties'!$B$4*B54)</f>
        <v>0.26709401709401709</v>
      </c>
      <c r="F54" s="13">
        <f>'[1]Materials Properties'!$C$4/D54</f>
        <v>9.3333333333333339</v>
      </c>
    </row>
    <row r="55" spans="1:6" x14ac:dyDescent="0.3">
      <c r="A55" s="12">
        <v>40</v>
      </c>
      <c r="B55" s="13">
        <f>'[1]Materials Properties'!$B$8*'[1]Materials Properties'!$B$9^3/12</f>
        <v>2500</v>
      </c>
      <c r="C55" s="14">
        <f>A55*'[1]Materials Properties'!$B$7/4</f>
        <v>5000</v>
      </c>
      <c r="D55" s="13">
        <f>C55*('[1]Materials Properties'!$B$9/2)/B55</f>
        <v>10</v>
      </c>
      <c r="E55" s="15">
        <f>A55*'[1]Materials Properties'!$B$7^3/(48*'[1]Materials Properties'!$B$4*B55)</f>
        <v>0.35612535612535612</v>
      </c>
      <c r="F55" s="13">
        <f>'[1]Materials Properties'!$C$4/D55</f>
        <v>7</v>
      </c>
    </row>
    <row r="56" spans="1:6" x14ac:dyDescent="0.3">
      <c r="A56" s="12">
        <v>50</v>
      </c>
      <c r="B56" s="13">
        <f>'[1]Materials Properties'!$B$8*'[1]Materials Properties'!$B$9^3/12</f>
        <v>2500</v>
      </c>
      <c r="C56" s="14">
        <f>A56*'[1]Materials Properties'!$B$7/4</f>
        <v>6250</v>
      </c>
      <c r="D56" s="13">
        <f>C56*('[1]Materials Properties'!$B$9/2)/B56</f>
        <v>12.5</v>
      </c>
      <c r="E56" s="15">
        <f>A56*'[1]Materials Properties'!$B$7^3/(48*'[1]Materials Properties'!$B$4*B56)</f>
        <v>0.44515669515669515</v>
      </c>
      <c r="F56" s="13">
        <f>'[1]Materials Properties'!$C$4/D56</f>
        <v>5.6</v>
      </c>
    </row>
    <row r="57" spans="1:6" x14ac:dyDescent="0.3">
      <c r="A57" s="12">
        <v>60</v>
      </c>
      <c r="B57" s="13">
        <f>'[1]Materials Properties'!$B$8*'[1]Materials Properties'!$B$9^3/12</f>
        <v>2500</v>
      </c>
      <c r="C57" s="14">
        <f>A57*'[1]Materials Properties'!$B$7/4</f>
        <v>7500</v>
      </c>
      <c r="D57" s="13">
        <f>C57*('[1]Materials Properties'!$B$9/2)/B57</f>
        <v>15</v>
      </c>
      <c r="E57" s="15">
        <f>A57*'[1]Materials Properties'!$B$7^3/(48*'[1]Materials Properties'!$B$4*B57)</f>
        <v>0.53418803418803418</v>
      </c>
      <c r="F57" s="13">
        <f>'[1]Materials Properties'!$C$4/D57</f>
        <v>4.666666666666667</v>
      </c>
    </row>
    <row r="58" spans="1:6" x14ac:dyDescent="0.3">
      <c r="A58" s="12">
        <v>70</v>
      </c>
      <c r="B58" s="13">
        <f>'[1]Materials Properties'!$B$8*'[1]Materials Properties'!$B$9^3/12</f>
        <v>2500</v>
      </c>
      <c r="C58" s="14">
        <f>A58*'[1]Materials Properties'!$B$7/4</f>
        <v>8750</v>
      </c>
      <c r="D58" s="13">
        <f>C58*('[1]Materials Properties'!$B$9/2)/B58</f>
        <v>17.5</v>
      </c>
      <c r="E58" s="15">
        <f>A58*'[1]Materials Properties'!$B$7^3/(48*'[1]Materials Properties'!$B$4*B58)</f>
        <v>0.62321937321937326</v>
      </c>
      <c r="F58" s="13">
        <f>'[1]Materials Properties'!$C$4/D58</f>
        <v>4</v>
      </c>
    </row>
    <row r="59" spans="1:6" x14ac:dyDescent="0.3">
      <c r="A59" s="12">
        <v>80</v>
      </c>
      <c r="B59" s="13">
        <f>'[1]Materials Properties'!$B$8*'[1]Materials Properties'!$B$9^3/12</f>
        <v>2500</v>
      </c>
      <c r="C59" s="14">
        <f>A59*'[1]Materials Properties'!$B$7/4</f>
        <v>10000</v>
      </c>
      <c r="D59" s="13">
        <f>C59*('[1]Materials Properties'!$B$9/2)/B59</f>
        <v>20</v>
      </c>
      <c r="E59" s="15">
        <f>A59*'[1]Materials Properties'!$B$7^3/(48*'[1]Materials Properties'!$B$4*B59)</f>
        <v>0.71225071225071224</v>
      </c>
      <c r="F59" s="13">
        <f>'[1]Materials Properties'!$C$4/D59</f>
        <v>3.5</v>
      </c>
    </row>
    <row r="60" spans="1:6" x14ac:dyDescent="0.3">
      <c r="A60" s="12">
        <v>90</v>
      </c>
      <c r="B60" s="13">
        <f>'[1]Materials Properties'!$B$8*'[1]Materials Properties'!$B$9^3/12</f>
        <v>2500</v>
      </c>
      <c r="C60" s="14">
        <f>A60*'[1]Materials Properties'!$B$7/4</f>
        <v>11250</v>
      </c>
      <c r="D60" s="13">
        <f>C60*('[1]Materials Properties'!$B$9/2)/B60</f>
        <v>22.5</v>
      </c>
      <c r="E60" s="15">
        <f>A60*'[1]Materials Properties'!$B$7^3/(48*'[1]Materials Properties'!$B$4*B60)</f>
        <v>0.80128205128205132</v>
      </c>
      <c r="F60" s="13">
        <f>'[1]Materials Properties'!$C$4/D60</f>
        <v>3.1111111111111112</v>
      </c>
    </row>
    <row r="61" spans="1:6" x14ac:dyDescent="0.3">
      <c r="A61" s="12">
        <v>100</v>
      </c>
      <c r="B61" s="13">
        <f>'[1]Materials Properties'!$B$8*'[1]Materials Properties'!$B$9^3/12</f>
        <v>2500</v>
      </c>
      <c r="C61" s="14">
        <f>A61*'[1]Materials Properties'!$B$7/4</f>
        <v>12500</v>
      </c>
      <c r="D61" s="13">
        <f>C61*('[1]Materials Properties'!$B$9/2)/B61</f>
        <v>25</v>
      </c>
      <c r="E61" s="15">
        <f>A61*'[1]Materials Properties'!$B$7^3/(48*'[1]Materials Properties'!$B$4*B61)</f>
        <v>0.8903133903133903</v>
      </c>
      <c r="F61" s="13">
        <f>'[1]Materials Properties'!$C$4/D61</f>
        <v>2.8</v>
      </c>
    </row>
    <row r="62" spans="1:6" x14ac:dyDescent="0.3">
      <c r="A62" s="12">
        <v>110</v>
      </c>
      <c r="B62" s="13">
        <f>'[1]Materials Properties'!$B$8*'[1]Materials Properties'!$B$9^3/12</f>
        <v>2500</v>
      </c>
      <c r="C62" s="14">
        <f>A62*'[1]Materials Properties'!$B$7/4</f>
        <v>13750</v>
      </c>
      <c r="D62" s="13">
        <f>C62*('[1]Materials Properties'!$B$9/2)/B62</f>
        <v>27.5</v>
      </c>
      <c r="E62" s="15">
        <f>A62*'[1]Materials Properties'!$B$7^3/(48*'[1]Materials Properties'!$B$4*B62)</f>
        <v>0.97934472934472938</v>
      </c>
      <c r="F62" s="13">
        <f>'[1]Materials Properties'!$C$4/D62</f>
        <v>2.5454545454545454</v>
      </c>
    </row>
    <row r="63" spans="1:6" x14ac:dyDescent="0.3">
      <c r="A63" s="12">
        <v>120</v>
      </c>
      <c r="B63" s="13">
        <f>'[1]Materials Properties'!$B$8*'[1]Materials Properties'!$B$9^3/12</f>
        <v>2500</v>
      </c>
      <c r="C63" s="14">
        <f>A63*'[1]Materials Properties'!$B$7/4</f>
        <v>15000</v>
      </c>
      <c r="D63" s="13">
        <f>C63*('[1]Materials Properties'!$B$9/2)/B63</f>
        <v>30</v>
      </c>
      <c r="E63" s="15">
        <f>A63*'[1]Materials Properties'!$B$7^3/(48*'[1]Materials Properties'!$B$4*B63)</f>
        <v>1.0683760683760684</v>
      </c>
      <c r="F63" s="13">
        <f>'[1]Materials Properties'!$C$4/D63</f>
        <v>2.3333333333333335</v>
      </c>
    </row>
    <row r="64" spans="1:6" x14ac:dyDescent="0.3">
      <c r="A64" s="12">
        <v>130</v>
      </c>
      <c r="B64" s="13">
        <f>'[1]Materials Properties'!$B$8*'[1]Materials Properties'!$B$9^3/12</f>
        <v>2500</v>
      </c>
      <c r="C64" s="14">
        <f>A64*'[1]Materials Properties'!$B$7/4</f>
        <v>16250</v>
      </c>
      <c r="D64" s="13">
        <f>C64*('[1]Materials Properties'!$B$9/2)/B64</f>
        <v>32.5</v>
      </c>
      <c r="E64" s="15">
        <f>A64*'[1]Materials Properties'!$B$7^3/(48*'[1]Materials Properties'!$B$4*B64)</f>
        <v>1.1574074074074074</v>
      </c>
      <c r="F64" s="13">
        <f>'[1]Materials Properties'!$C$4/D64</f>
        <v>2.1538461538461537</v>
      </c>
    </row>
    <row r="65" spans="1:6" x14ac:dyDescent="0.3">
      <c r="A65" s="12">
        <v>140</v>
      </c>
      <c r="B65" s="13">
        <f>'[1]Materials Properties'!$B$8*'[1]Materials Properties'!$B$9^3/12</f>
        <v>2500</v>
      </c>
      <c r="C65" s="14">
        <f>A65*'[1]Materials Properties'!$B$7/4</f>
        <v>17500</v>
      </c>
      <c r="D65" s="13">
        <f>C65*('[1]Materials Properties'!$B$9/2)/B65</f>
        <v>35</v>
      </c>
      <c r="E65" s="15">
        <f>A65*'[1]Materials Properties'!$B$7^3/(48*'[1]Materials Properties'!$B$4*B65)</f>
        <v>1.2464387464387465</v>
      </c>
      <c r="F65" s="13">
        <f>'[1]Materials Properties'!$C$4/D65</f>
        <v>2</v>
      </c>
    </row>
    <row r="66" spans="1:6" x14ac:dyDescent="0.3">
      <c r="A66" s="12">
        <v>150</v>
      </c>
      <c r="B66" s="13">
        <f>'[1]Materials Properties'!$B$8*'[1]Materials Properties'!$B$9^3/12</f>
        <v>2500</v>
      </c>
      <c r="C66" s="14">
        <f>A66*'[1]Materials Properties'!$B$7/4</f>
        <v>18750</v>
      </c>
      <c r="D66" s="13">
        <f>C66*('[1]Materials Properties'!$B$9/2)/B66</f>
        <v>37.5</v>
      </c>
      <c r="E66" s="15">
        <f>A66*'[1]Materials Properties'!$B$7^3/(48*'[1]Materials Properties'!$B$4*B66)</f>
        <v>1.3354700854700854</v>
      </c>
      <c r="F66" s="13">
        <f>'[1]Materials Properties'!$C$4/D66</f>
        <v>1.8666666666666667</v>
      </c>
    </row>
    <row r="67" spans="1:6" x14ac:dyDescent="0.3">
      <c r="A67" s="12">
        <v>160</v>
      </c>
      <c r="B67" s="13">
        <f>'[1]Materials Properties'!$B$8*'[1]Materials Properties'!$B$9^3/12</f>
        <v>2500</v>
      </c>
      <c r="C67" s="14">
        <f>A67*'[1]Materials Properties'!$B$7/4</f>
        <v>20000</v>
      </c>
      <c r="D67" s="13">
        <f>C67*('[1]Materials Properties'!$B$9/2)/B67</f>
        <v>40</v>
      </c>
      <c r="E67" s="15">
        <f>A67*'[1]Materials Properties'!$B$7^3/(48*'[1]Materials Properties'!$B$4*B67)</f>
        <v>1.4245014245014245</v>
      </c>
      <c r="F67" s="13">
        <f>'[1]Materials Properties'!$C$4/D67</f>
        <v>1.75</v>
      </c>
    </row>
    <row r="68" spans="1:6" x14ac:dyDescent="0.3">
      <c r="A68" s="12">
        <v>170</v>
      </c>
      <c r="B68" s="13">
        <f>'[1]Materials Properties'!$B$8*'[1]Materials Properties'!$B$9^3/12</f>
        <v>2500</v>
      </c>
      <c r="C68" s="14">
        <f>A68*'[1]Materials Properties'!$B$7/4</f>
        <v>21250</v>
      </c>
      <c r="D68" s="13">
        <f>C68*('[1]Materials Properties'!$B$9/2)/B68</f>
        <v>42.5</v>
      </c>
      <c r="E68" s="15">
        <f>A68*'[1]Materials Properties'!$B$7^3/(48*'[1]Materials Properties'!$B$4*B68)</f>
        <v>1.5135327635327636</v>
      </c>
      <c r="F68" s="13">
        <f>'[1]Materials Properties'!$C$4/D68</f>
        <v>1.6470588235294117</v>
      </c>
    </row>
    <row r="69" spans="1:6" x14ac:dyDescent="0.3">
      <c r="A69" s="12">
        <v>180</v>
      </c>
      <c r="B69" s="13">
        <f>'[1]Materials Properties'!$B$8*'[1]Materials Properties'!$B$9^3/12</f>
        <v>2500</v>
      </c>
      <c r="C69" s="14">
        <f>A69*'[1]Materials Properties'!$B$7/4</f>
        <v>22500</v>
      </c>
      <c r="D69" s="13">
        <f>C69*('[1]Materials Properties'!$B$9/2)/B69</f>
        <v>45</v>
      </c>
      <c r="E69" s="15">
        <f>A69*'[1]Materials Properties'!$B$7^3/(48*'[1]Materials Properties'!$B$4*B69)</f>
        <v>1.6025641025641026</v>
      </c>
      <c r="F69" s="13">
        <f>'[1]Materials Properties'!$C$4/D69</f>
        <v>1.5555555555555556</v>
      </c>
    </row>
    <row r="70" spans="1:6" x14ac:dyDescent="0.3">
      <c r="A70" s="12">
        <v>190</v>
      </c>
      <c r="B70" s="13">
        <f>'[1]Materials Properties'!$B$8*'[1]Materials Properties'!$B$9^3/12</f>
        <v>2500</v>
      </c>
      <c r="C70" s="14">
        <f>A70*'[1]Materials Properties'!$B$7/4</f>
        <v>23750</v>
      </c>
      <c r="D70" s="13">
        <f>C70*('[1]Materials Properties'!$B$9/2)/B70</f>
        <v>47.5</v>
      </c>
      <c r="E70" s="15">
        <f>A70*'[1]Materials Properties'!$B$7^3/(48*'[1]Materials Properties'!$B$4*B70)</f>
        <v>1.6915954415954415</v>
      </c>
      <c r="F70" s="13">
        <f>'[1]Materials Properties'!$C$4/D70</f>
        <v>1.4736842105263157</v>
      </c>
    </row>
    <row r="71" spans="1:6" x14ac:dyDescent="0.3">
      <c r="A71" s="12">
        <v>200</v>
      </c>
      <c r="B71" s="13">
        <f>'[1]Materials Properties'!$B$8*'[1]Materials Properties'!$B$9^3/12</f>
        <v>2500</v>
      </c>
      <c r="C71" s="14">
        <f>A71*'[1]Materials Properties'!$B$7/4</f>
        <v>25000</v>
      </c>
      <c r="D71" s="13">
        <f>C71*('[1]Materials Properties'!$B$9/2)/B71</f>
        <v>50</v>
      </c>
      <c r="E71" s="15">
        <f>A71*'[1]Materials Properties'!$B$7^3/(48*'[1]Materials Properties'!$B$4*B71)</f>
        <v>1.7806267806267806</v>
      </c>
      <c r="F71" s="13">
        <f>'[1]Materials Properties'!$C$4/D71</f>
        <v>1.4</v>
      </c>
    </row>
    <row r="73" spans="1:6" x14ac:dyDescent="0.3">
      <c r="A73" s="18" t="s">
        <v>22</v>
      </c>
      <c r="B73" s="8"/>
      <c r="C73" s="8"/>
      <c r="D73" s="8"/>
      <c r="E73" s="8"/>
      <c r="F73" s="8"/>
    </row>
    <row r="74" spans="1:6" ht="26.4" x14ac:dyDescent="0.3">
      <c r="A74" s="4" t="s">
        <v>19</v>
      </c>
      <c r="B74" s="4" t="s">
        <v>12</v>
      </c>
      <c r="C74" s="4" t="s">
        <v>13</v>
      </c>
      <c r="D74" s="4" t="s">
        <v>14</v>
      </c>
      <c r="E74" s="4" t="s">
        <v>15</v>
      </c>
      <c r="F74" s="4" t="s">
        <v>11</v>
      </c>
    </row>
    <row r="75" spans="1:6" x14ac:dyDescent="0.3">
      <c r="A75" s="12">
        <v>10</v>
      </c>
      <c r="B75" s="13">
        <f>'[1]Materials Properties'!$B$8*'[1]Materials Properties'!$B$9^3/12</f>
        <v>2500</v>
      </c>
      <c r="C75" s="14">
        <f>A75*'[1]Materials Properties'!$B$7/4</f>
        <v>1250</v>
      </c>
      <c r="D75" s="13">
        <f>C75*('[1]Materials Properties'!$B$9/2)/B75</f>
        <v>2.5</v>
      </c>
      <c r="E75" s="15">
        <f>A75*'[1]Materials Properties'!$B$7^3/(48*'[1]Materials Properties'!$B$5*B75)</f>
        <v>4.5289855072463769</v>
      </c>
      <c r="F75" s="13">
        <f>'[1]Materials Properties'!$C$5/D75</f>
        <v>16</v>
      </c>
    </row>
    <row r="76" spans="1:6" x14ac:dyDescent="0.3">
      <c r="A76" s="12">
        <v>20</v>
      </c>
      <c r="B76" s="13">
        <f>'[1]Materials Properties'!$B$8*'[1]Materials Properties'!$B$9^3/12</f>
        <v>2500</v>
      </c>
      <c r="C76" s="14">
        <f>A76*'[1]Materials Properties'!$B$7/4</f>
        <v>2500</v>
      </c>
      <c r="D76" s="13">
        <f>C76*('[1]Materials Properties'!$B$9/2)/B76</f>
        <v>5</v>
      </c>
      <c r="E76" s="15">
        <f>A76*'[1]Materials Properties'!$B$7^3/(48*'[1]Materials Properties'!$B$5*B76)</f>
        <v>9.0579710144927539</v>
      </c>
      <c r="F76" s="13">
        <f>'[1]Materials Properties'!$C$5/D76</f>
        <v>8</v>
      </c>
    </row>
    <row r="77" spans="1:6" x14ac:dyDescent="0.3">
      <c r="A77" s="12">
        <v>30</v>
      </c>
      <c r="B77" s="13">
        <f>'[1]Materials Properties'!$B$8*'[1]Materials Properties'!$B$9^3/12</f>
        <v>2500</v>
      </c>
      <c r="C77" s="14">
        <f>A77*'[1]Materials Properties'!$B$7/4</f>
        <v>3750</v>
      </c>
      <c r="D77" s="13">
        <f>C77*('[1]Materials Properties'!$B$9/2)/B77</f>
        <v>7.5</v>
      </c>
      <c r="E77" s="15">
        <f>A77*'[1]Materials Properties'!$B$7^3/(48*'[1]Materials Properties'!$B$5*B77)</f>
        <v>13.586956521739131</v>
      </c>
      <c r="F77" s="13">
        <f>'[1]Materials Properties'!$C$5/D77</f>
        <v>5.333333333333333</v>
      </c>
    </row>
    <row r="78" spans="1:6" x14ac:dyDescent="0.3">
      <c r="A78" s="12">
        <v>40</v>
      </c>
      <c r="B78" s="13">
        <f>'[1]Materials Properties'!$B$8*'[1]Materials Properties'!$B$9^3/12</f>
        <v>2500</v>
      </c>
      <c r="C78" s="14">
        <f>A78*'[1]Materials Properties'!$B$7/4</f>
        <v>5000</v>
      </c>
      <c r="D78" s="13">
        <f>C78*('[1]Materials Properties'!$B$9/2)/B78</f>
        <v>10</v>
      </c>
      <c r="E78" s="15">
        <f>A78*'[1]Materials Properties'!$B$7^3/(48*'[1]Materials Properties'!$B$5*B78)</f>
        <v>18.115942028985508</v>
      </c>
      <c r="F78" s="13">
        <f>'[1]Materials Properties'!$C$5/D78</f>
        <v>4</v>
      </c>
    </row>
    <row r="79" spans="1:6" x14ac:dyDescent="0.3">
      <c r="A79" s="12">
        <v>50</v>
      </c>
      <c r="B79" s="13">
        <f>'[1]Materials Properties'!$B$8*'[1]Materials Properties'!$B$9^3/12</f>
        <v>2500</v>
      </c>
      <c r="C79" s="14">
        <f>A79*'[1]Materials Properties'!$B$7/4</f>
        <v>6250</v>
      </c>
      <c r="D79" s="13">
        <f>C79*('[1]Materials Properties'!$B$9/2)/B79</f>
        <v>12.5</v>
      </c>
      <c r="E79" s="15">
        <f>A79*'[1]Materials Properties'!$B$7^3/(48*'[1]Materials Properties'!$B$5*B79)</f>
        <v>22.644927536231883</v>
      </c>
      <c r="F79" s="13">
        <f>'[1]Materials Properties'!$C$5/D79</f>
        <v>3.2</v>
      </c>
    </row>
    <row r="80" spans="1:6" x14ac:dyDescent="0.3">
      <c r="A80" s="12">
        <v>60</v>
      </c>
      <c r="B80" s="13">
        <f>'[1]Materials Properties'!$B$8*'[1]Materials Properties'!$B$9^3/12</f>
        <v>2500</v>
      </c>
      <c r="C80" s="14">
        <f>A80*'[1]Materials Properties'!$B$7/4</f>
        <v>7500</v>
      </c>
      <c r="D80" s="13">
        <f>C80*('[1]Materials Properties'!$B$9/2)/B80</f>
        <v>15</v>
      </c>
      <c r="E80" s="15">
        <f>A80*'[1]Materials Properties'!$B$7^3/(48*'[1]Materials Properties'!$B$5*B80)</f>
        <v>27.173913043478262</v>
      </c>
      <c r="F80" s="13">
        <f>'[1]Materials Properties'!$C$5/D80</f>
        <v>2.6666666666666665</v>
      </c>
    </row>
    <row r="81" spans="1:6" x14ac:dyDescent="0.3">
      <c r="A81" s="12">
        <v>70</v>
      </c>
      <c r="B81" s="13">
        <f>'[1]Materials Properties'!$B$8*'[1]Materials Properties'!$B$9^3/12</f>
        <v>2500</v>
      </c>
      <c r="C81" s="14">
        <f>A81*'[1]Materials Properties'!$B$7/4</f>
        <v>8750</v>
      </c>
      <c r="D81" s="13">
        <f>C81*('[1]Materials Properties'!$B$9/2)/B81</f>
        <v>17.5</v>
      </c>
      <c r="E81" s="15">
        <f>A81*'[1]Materials Properties'!$B$7^3/(48*'[1]Materials Properties'!$B$5*B81)</f>
        <v>31.702898550724637</v>
      </c>
      <c r="F81" s="13">
        <f>'[1]Materials Properties'!$C$5/D81</f>
        <v>2.2857142857142856</v>
      </c>
    </row>
    <row r="82" spans="1:6" x14ac:dyDescent="0.3">
      <c r="A82" s="12">
        <v>80</v>
      </c>
      <c r="B82" s="13">
        <f>'[1]Materials Properties'!$B$8*'[1]Materials Properties'!$B$9^3/12</f>
        <v>2500</v>
      </c>
      <c r="C82" s="14">
        <f>A82*'[1]Materials Properties'!$B$7/4</f>
        <v>10000</v>
      </c>
      <c r="D82" s="13">
        <f>C82*('[1]Materials Properties'!$B$9/2)/B82</f>
        <v>20</v>
      </c>
      <c r="E82" s="15">
        <f>A82*'[1]Materials Properties'!$B$7^3/(48*'[1]Materials Properties'!$B$5*B82)</f>
        <v>36.231884057971016</v>
      </c>
      <c r="F82" s="13">
        <f>'[1]Materials Properties'!$C$5/D82</f>
        <v>2</v>
      </c>
    </row>
    <row r="83" spans="1:6" x14ac:dyDescent="0.3">
      <c r="A83" s="12">
        <v>90</v>
      </c>
      <c r="B83" s="13">
        <f>'[1]Materials Properties'!$B$8*'[1]Materials Properties'!$B$9^3/12</f>
        <v>2500</v>
      </c>
      <c r="C83" s="14">
        <f>A83*'[1]Materials Properties'!$B$7/4</f>
        <v>11250</v>
      </c>
      <c r="D83" s="13">
        <f>C83*('[1]Materials Properties'!$B$9/2)/B83</f>
        <v>22.5</v>
      </c>
      <c r="E83" s="15">
        <f>A83*'[1]Materials Properties'!$B$7^3/(48*'[1]Materials Properties'!$B$5*B83)</f>
        <v>40.760869565217391</v>
      </c>
      <c r="F83" s="13">
        <f>'[1]Materials Properties'!$C$5/D83</f>
        <v>1.7777777777777777</v>
      </c>
    </row>
    <row r="84" spans="1:6" x14ac:dyDescent="0.3">
      <c r="A84" s="12">
        <v>100</v>
      </c>
      <c r="B84" s="13">
        <f>'[1]Materials Properties'!$B$8*'[1]Materials Properties'!$B$9^3/12</f>
        <v>2500</v>
      </c>
      <c r="C84" s="14">
        <f>A84*'[1]Materials Properties'!$B$7/4</f>
        <v>12500</v>
      </c>
      <c r="D84" s="13">
        <f>C84*('[1]Materials Properties'!$B$9/2)/B84</f>
        <v>25</v>
      </c>
      <c r="E84" s="15">
        <f>A84*'[1]Materials Properties'!$B$7^3/(48*'[1]Materials Properties'!$B$5*B84)</f>
        <v>45.289855072463766</v>
      </c>
      <c r="F84" s="13">
        <f>'[1]Materials Properties'!$C$5/D84</f>
        <v>1.6</v>
      </c>
    </row>
    <row r="85" spans="1:6" x14ac:dyDescent="0.3">
      <c r="A85" s="12">
        <v>110</v>
      </c>
      <c r="B85" s="13">
        <f>'[1]Materials Properties'!$B$8*'[1]Materials Properties'!$B$9^3/12</f>
        <v>2500</v>
      </c>
      <c r="C85" s="14">
        <f>A85*'[1]Materials Properties'!$B$7/4</f>
        <v>13750</v>
      </c>
      <c r="D85" s="13">
        <f>C85*('[1]Materials Properties'!$B$9/2)/B85</f>
        <v>27.5</v>
      </c>
      <c r="E85" s="15">
        <f>A85*'[1]Materials Properties'!$B$7^3/(48*'[1]Materials Properties'!$B$5*B85)</f>
        <v>49.818840579710148</v>
      </c>
      <c r="F85" s="13">
        <f>'[1]Materials Properties'!$C$5/D85</f>
        <v>1.4545454545454546</v>
      </c>
    </row>
    <row r="86" spans="1:6" x14ac:dyDescent="0.3">
      <c r="A86" s="12">
        <v>120</v>
      </c>
      <c r="B86" s="13">
        <f>'[1]Materials Properties'!$B$8*'[1]Materials Properties'!$B$9^3/12</f>
        <v>2500</v>
      </c>
      <c r="C86" s="14">
        <f>A86*'[1]Materials Properties'!$B$7/4</f>
        <v>15000</v>
      </c>
      <c r="D86" s="13">
        <f>C86*('[1]Materials Properties'!$B$9/2)/B86</f>
        <v>30</v>
      </c>
      <c r="E86" s="15">
        <f>A86*'[1]Materials Properties'!$B$7^3/(48*'[1]Materials Properties'!$B$5*B86)</f>
        <v>54.347826086956523</v>
      </c>
      <c r="F86" s="13">
        <f>'[1]Materials Properties'!$C$5/D86</f>
        <v>1.3333333333333333</v>
      </c>
    </row>
    <row r="87" spans="1:6" x14ac:dyDescent="0.3">
      <c r="A87" s="12">
        <v>130</v>
      </c>
      <c r="B87" s="13">
        <f>'[1]Materials Properties'!$B$8*'[1]Materials Properties'!$B$9^3/12</f>
        <v>2500</v>
      </c>
      <c r="C87" s="14">
        <f>A87*'[1]Materials Properties'!$B$7/4</f>
        <v>16250</v>
      </c>
      <c r="D87" s="13">
        <f>C87*('[1]Materials Properties'!$B$9/2)/B87</f>
        <v>32.5</v>
      </c>
      <c r="E87" s="15">
        <f>A87*'[1]Materials Properties'!$B$7^3/(48*'[1]Materials Properties'!$B$5*B87)</f>
        <v>58.876811594202898</v>
      </c>
      <c r="F87" s="13">
        <f>'[1]Materials Properties'!$C$5/D87</f>
        <v>1.2307692307692308</v>
      </c>
    </row>
    <row r="88" spans="1:6" x14ac:dyDescent="0.3">
      <c r="A88" s="12">
        <v>140</v>
      </c>
      <c r="B88" s="13">
        <f>'[1]Materials Properties'!$B$8*'[1]Materials Properties'!$B$9^3/12</f>
        <v>2500</v>
      </c>
      <c r="C88" s="14">
        <f>A88*'[1]Materials Properties'!$B$7/4</f>
        <v>17500</v>
      </c>
      <c r="D88" s="13">
        <f>C88*('[1]Materials Properties'!$B$9/2)/B88</f>
        <v>35</v>
      </c>
      <c r="E88" s="15">
        <f>A88*'[1]Materials Properties'!$B$7^3/(48*'[1]Materials Properties'!$B$5*B88)</f>
        <v>63.405797101449274</v>
      </c>
      <c r="F88" s="13">
        <f>'[1]Materials Properties'!$C$5/D88</f>
        <v>1.1428571428571428</v>
      </c>
    </row>
    <row r="89" spans="1:6" x14ac:dyDescent="0.3">
      <c r="A89" s="12">
        <v>150</v>
      </c>
      <c r="B89" s="13">
        <f>'[1]Materials Properties'!$B$8*'[1]Materials Properties'!$B$9^3/12</f>
        <v>2500</v>
      </c>
      <c r="C89" s="14">
        <f>A89*'[1]Materials Properties'!$B$7/4</f>
        <v>18750</v>
      </c>
      <c r="D89" s="13">
        <f>C89*('[1]Materials Properties'!$B$9/2)/B89</f>
        <v>37.5</v>
      </c>
      <c r="E89" s="15">
        <f>A89*'[1]Materials Properties'!$B$7^3/(48*'[1]Materials Properties'!$B$5*B89)</f>
        <v>67.934782608695656</v>
      </c>
      <c r="F89" s="13">
        <f>'[1]Materials Properties'!$C$5/D89</f>
        <v>1.0666666666666667</v>
      </c>
    </row>
    <row r="90" spans="1:6" x14ac:dyDescent="0.3">
      <c r="A90" s="12">
        <v>160</v>
      </c>
      <c r="B90" s="13">
        <f>'[1]Materials Properties'!$B$8*'[1]Materials Properties'!$B$9^3/12</f>
        <v>2500</v>
      </c>
      <c r="C90" s="14">
        <f>A90*'[1]Materials Properties'!$B$7/4</f>
        <v>20000</v>
      </c>
      <c r="D90" s="13">
        <f>C90*('[1]Materials Properties'!$B$9/2)/B90</f>
        <v>40</v>
      </c>
      <c r="E90" s="15">
        <f>A90*'[1]Materials Properties'!$B$7^3/(48*'[1]Materials Properties'!$B$5*B90)</f>
        <v>72.463768115942031</v>
      </c>
      <c r="F90" s="13">
        <f>'[1]Materials Properties'!$C$5/D90</f>
        <v>1</v>
      </c>
    </row>
    <row r="91" spans="1:6" x14ac:dyDescent="0.3">
      <c r="A91" s="12">
        <v>170</v>
      </c>
      <c r="B91" s="13">
        <f>'[1]Materials Properties'!$B$8*'[1]Materials Properties'!$B$9^3/12</f>
        <v>2500</v>
      </c>
      <c r="C91" s="14">
        <f>A91*'[1]Materials Properties'!$B$7/4</f>
        <v>21250</v>
      </c>
      <c r="D91" s="13">
        <f>C91*('[1]Materials Properties'!$B$9/2)/B91</f>
        <v>42.5</v>
      </c>
      <c r="E91" s="15">
        <f>A91*'[1]Materials Properties'!$B$7^3/(48*'[1]Materials Properties'!$B$5*B91)</f>
        <v>76.992753623188406</v>
      </c>
      <c r="F91" s="13">
        <f>'[1]Materials Properties'!$C$5/D91</f>
        <v>0.94117647058823528</v>
      </c>
    </row>
    <row r="92" spans="1:6" x14ac:dyDescent="0.3">
      <c r="A92" s="12">
        <v>180</v>
      </c>
      <c r="B92" s="13">
        <f>'[1]Materials Properties'!$B$8*'[1]Materials Properties'!$B$9^3/12</f>
        <v>2500</v>
      </c>
      <c r="C92" s="14">
        <f>A92*'[1]Materials Properties'!$B$7/4</f>
        <v>22500</v>
      </c>
      <c r="D92" s="13">
        <f>C92*('[1]Materials Properties'!$B$9/2)/B92</f>
        <v>45</v>
      </c>
      <c r="E92" s="15">
        <f>A92*'[1]Materials Properties'!$B$7^3/(48*'[1]Materials Properties'!$B$5*B92)</f>
        <v>81.521739130434781</v>
      </c>
      <c r="F92" s="13">
        <f>'[1]Materials Properties'!$C$5/D92</f>
        <v>0.88888888888888884</v>
      </c>
    </row>
    <row r="93" spans="1:6" x14ac:dyDescent="0.3">
      <c r="A93" s="12">
        <v>190</v>
      </c>
      <c r="B93" s="13">
        <f>'[1]Materials Properties'!$B$8*'[1]Materials Properties'!$B$9^3/12</f>
        <v>2500</v>
      </c>
      <c r="C93" s="14">
        <f>A93*'[1]Materials Properties'!$B$7/4</f>
        <v>23750</v>
      </c>
      <c r="D93" s="13">
        <f>C93*('[1]Materials Properties'!$B$9/2)/B93</f>
        <v>47.5</v>
      </c>
      <c r="E93" s="15">
        <f>A93*'[1]Materials Properties'!$B$7^3/(48*'[1]Materials Properties'!$B$5*B93)</f>
        <v>86.050724637681157</v>
      </c>
      <c r="F93" s="13">
        <f>'[1]Materials Properties'!$C$5/D93</f>
        <v>0.84210526315789469</v>
      </c>
    </row>
    <row r="94" spans="1:6" x14ac:dyDescent="0.3">
      <c r="A94" s="12">
        <v>200</v>
      </c>
      <c r="B94" s="13">
        <f>'[1]Materials Properties'!$B$8*'[1]Materials Properties'!$B$9^3/12</f>
        <v>2500</v>
      </c>
      <c r="C94" s="14">
        <f>A94*'[1]Materials Properties'!$B$7/4</f>
        <v>25000</v>
      </c>
      <c r="D94" s="13">
        <f>C94*('[1]Materials Properties'!$B$9/2)/B94</f>
        <v>50</v>
      </c>
      <c r="E94" s="15">
        <f>A94*'[1]Materials Properties'!$B$7^3/(48*'[1]Materials Properties'!$B$5*B94)</f>
        <v>90.579710144927532</v>
      </c>
      <c r="F94" s="13">
        <f>'[1]Materials Properties'!$C$5/D94</f>
        <v>0.8</v>
      </c>
    </row>
  </sheetData>
  <mergeCells count="6">
    <mergeCell ref="A1:F1"/>
    <mergeCell ref="A2:F2"/>
    <mergeCell ref="A4:F4"/>
    <mergeCell ref="A27:F27"/>
    <mergeCell ref="A50:F50"/>
    <mergeCell ref="A73:F7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E93F-0C74-4A2B-8E91-5A27A4DFA462}">
  <dimension ref="A1:F94"/>
  <sheetViews>
    <sheetView topLeftCell="A73" workbookViewId="0">
      <selection activeCell="E75" sqref="E75:E94"/>
    </sheetView>
  </sheetViews>
  <sheetFormatPr defaultRowHeight="14.4" x14ac:dyDescent="0.3"/>
  <cols>
    <col min="1" max="1" width="13.21875" customWidth="1"/>
    <col min="2" max="2" width="13.6640625" customWidth="1"/>
    <col min="6" max="6" width="12.6640625" customWidth="1"/>
  </cols>
  <sheetData>
    <row r="1" spans="1:6" ht="16.8" x14ac:dyDescent="0.3">
      <c r="A1" s="9" t="s">
        <v>27</v>
      </c>
      <c r="B1" s="8"/>
      <c r="C1" s="8"/>
      <c r="D1" s="8"/>
      <c r="E1" s="8"/>
      <c r="F1" s="8"/>
    </row>
    <row r="2" spans="1:6" x14ac:dyDescent="0.3">
      <c r="A2" s="10" t="s">
        <v>26</v>
      </c>
      <c r="B2" s="8"/>
      <c r="C2" s="8"/>
      <c r="D2" s="8"/>
      <c r="E2" s="8"/>
      <c r="F2" s="8"/>
    </row>
    <row r="4" spans="1:6" x14ac:dyDescent="0.3">
      <c r="A4" s="11" t="s">
        <v>18</v>
      </c>
      <c r="B4" s="8"/>
      <c r="C4" s="8"/>
      <c r="D4" s="8"/>
      <c r="E4" s="8"/>
      <c r="F4" s="8"/>
    </row>
    <row r="5" spans="1:6" ht="26.4" x14ac:dyDescent="0.3">
      <c r="A5" s="4" t="s">
        <v>24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11</v>
      </c>
    </row>
    <row r="6" spans="1:6" x14ac:dyDescent="0.3">
      <c r="A6" s="19">
        <v>0.1</v>
      </c>
      <c r="B6" s="13">
        <f>'[1]Materials Properties'!$B$8*'[1]Materials Properties'!$B$9^3/12</f>
        <v>2500</v>
      </c>
      <c r="C6" s="14">
        <f>A6*'[1]Materials Properties'!$B$7^2/8</f>
        <v>3125</v>
      </c>
      <c r="D6" s="13">
        <f>C6*('[1]Materials Properties'!$B$9/2)/B6</f>
        <v>6.25</v>
      </c>
      <c r="E6" s="15">
        <f>5*A6*'[1]Materials Properties'!$B$7^4/(384*'[1]Materials Properties'!$B$2*B6)</f>
        <v>0.16276041666666666</v>
      </c>
      <c r="F6" s="13">
        <f>'[1]Materials Properties'!$C$2/D6</f>
        <v>40</v>
      </c>
    </row>
    <row r="7" spans="1:6" x14ac:dyDescent="0.3">
      <c r="A7" s="19">
        <v>0.2</v>
      </c>
      <c r="B7" s="13">
        <f>'[1]Materials Properties'!$B$8*'[1]Materials Properties'!$B$9^3/12</f>
        <v>2500</v>
      </c>
      <c r="C7" s="14">
        <f>A7*'[1]Materials Properties'!$B$7^2/8</f>
        <v>6250</v>
      </c>
      <c r="D7" s="13">
        <f>C7*('[1]Materials Properties'!$B$9/2)/B7</f>
        <v>12.5</v>
      </c>
      <c r="E7" s="15">
        <f>5*A7*'[1]Materials Properties'!$B$7^4/(384*'[1]Materials Properties'!$B$2*B7)</f>
        <v>0.32552083333333331</v>
      </c>
      <c r="F7" s="13">
        <f>'[1]Materials Properties'!$C$2/D7</f>
        <v>20</v>
      </c>
    </row>
    <row r="8" spans="1:6" x14ac:dyDescent="0.3">
      <c r="A8" s="19">
        <v>0.3</v>
      </c>
      <c r="B8" s="13">
        <f>'[1]Materials Properties'!$B$8*'[1]Materials Properties'!$B$9^3/12</f>
        <v>2500</v>
      </c>
      <c r="C8" s="14">
        <f>A8*'[1]Materials Properties'!$B$7^2/8</f>
        <v>9375</v>
      </c>
      <c r="D8" s="13">
        <f>C8*('[1]Materials Properties'!$B$9/2)/B8</f>
        <v>18.75</v>
      </c>
      <c r="E8" s="15">
        <f>5*A8*'[1]Materials Properties'!$B$7^4/(384*'[1]Materials Properties'!$B$2*B8)</f>
        <v>0.48828125</v>
      </c>
      <c r="F8" s="13">
        <f>'[1]Materials Properties'!$C$2/D8</f>
        <v>13.333333333333334</v>
      </c>
    </row>
    <row r="9" spans="1:6" x14ac:dyDescent="0.3">
      <c r="A9" s="19">
        <v>0.4</v>
      </c>
      <c r="B9" s="13">
        <f>'[1]Materials Properties'!$B$8*'[1]Materials Properties'!$B$9^3/12</f>
        <v>2500</v>
      </c>
      <c r="C9" s="14">
        <f>A9*'[1]Materials Properties'!$B$7^2/8</f>
        <v>12500</v>
      </c>
      <c r="D9" s="13">
        <f>C9*('[1]Materials Properties'!$B$9/2)/B9</f>
        <v>25</v>
      </c>
      <c r="E9" s="15">
        <f>5*A9*'[1]Materials Properties'!$B$7^4/(384*'[1]Materials Properties'!$B$2*B9)</f>
        <v>0.65104166666666663</v>
      </c>
      <c r="F9" s="13">
        <f>'[1]Materials Properties'!$C$2/D9</f>
        <v>10</v>
      </c>
    </row>
    <row r="10" spans="1:6" x14ac:dyDescent="0.3">
      <c r="A10" s="19">
        <v>0.5</v>
      </c>
      <c r="B10" s="13">
        <f>'[1]Materials Properties'!$B$8*'[1]Materials Properties'!$B$9^3/12</f>
        <v>2500</v>
      </c>
      <c r="C10" s="14">
        <f>A10*'[1]Materials Properties'!$B$7^2/8</f>
        <v>15625</v>
      </c>
      <c r="D10" s="13">
        <f>C10*('[1]Materials Properties'!$B$9/2)/B10</f>
        <v>31.25</v>
      </c>
      <c r="E10" s="15">
        <f>5*A10*'[1]Materials Properties'!$B$7^4/(384*'[1]Materials Properties'!$B$2*B10)</f>
        <v>0.81380208333333337</v>
      </c>
      <c r="F10" s="13">
        <f>'[1]Materials Properties'!$C$2/D10</f>
        <v>8</v>
      </c>
    </row>
    <row r="11" spans="1:6" x14ac:dyDescent="0.3">
      <c r="A11" s="19">
        <v>0.6</v>
      </c>
      <c r="B11" s="13">
        <f>'[1]Materials Properties'!$B$8*'[1]Materials Properties'!$B$9^3/12</f>
        <v>2500</v>
      </c>
      <c r="C11" s="14">
        <f>A11*'[1]Materials Properties'!$B$7^2/8</f>
        <v>18750</v>
      </c>
      <c r="D11" s="13">
        <f>C11*('[1]Materials Properties'!$B$9/2)/B11</f>
        <v>37.5</v>
      </c>
      <c r="E11" s="15">
        <f>5*A11*'[1]Materials Properties'!$B$7^4/(384*'[1]Materials Properties'!$B$2*B11)</f>
        <v>0.9765625</v>
      </c>
      <c r="F11" s="13">
        <f>'[1]Materials Properties'!$C$2/D11</f>
        <v>6.666666666666667</v>
      </c>
    </row>
    <row r="12" spans="1:6" x14ac:dyDescent="0.3">
      <c r="A12" s="19">
        <v>0.7</v>
      </c>
      <c r="B12" s="13">
        <f>'[1]Materials Properties'!$B$8*'[1]Materials Properties'!$B$9^3/12</f>
        <v>2500</v>
      </c>
      <c r="C12" s="14">
        <f>A12*'[1]Materials Properties'!$B$7^2/8</f>
        <v>21875</v>
      </c>
      <c r="D12" s="13">
        <f>C12*('[1]Materials Properties'!$B$9/2)/B12</f>
        <v>43.75</v>
      </c>
      <c r="E12" s="15">
        <f>5*A12*'[1]Materials Properties'!$B$7^4/(384*'[1]Materials Properties'!$B$2*B12)</f>
        <v>1.1393229166666667</v>
      </c>
      <c r="F12" s="13">
        <f>'[1]Materials Properties'!$C$2/D12</f>
        <v>5.7142857142857144</v>
      </c>
    </row>
    <row r="13" spans="1:6" x14ac:dyDescent="0.3">
      <c r="A13" s="19">
        <v>0.8</v>
      </c>
      <c r="B13" s="13">
        <f>'[1]Materials Properties'!$B$8*'[1]Materials Properties'!$B$9^3/12</f>
        <v>2500</v>
      </c>
      <c r="C13" s="14">
        <f>A13*'[1]Materials Properties'!$B$7^2/8</f>
        <v>25000</v>
      </c>
      <c r="D13" s="13">
        <f>C13*('[1]Materials Properties'!$B$9/2)/B13</f>
        <v>50</v>
      </c>
      <c r="E13" s="15">
        <f>5*A13*'[1]Materials Properties'!$B$7^4/(384*'[1]Materials Properties'!$B$2*B13)</f>
        <v>1.3020833333333333</v>
      </c>
      <c r="F13" s="13">
        <f>'[1]Materials Properties'!$C$2/D13</f>
        <v>5</v>
      </c>
    </row>
    <row r="14" spans="1:6" x14ac:dyDescent="0.3">
      <c r="A14" s="19">
        <v>0.9</v>
      </c>
      <c r="B14" s="13">
        <f>'[1]Materials Properties'!$B$8*'[1]Materials Properties'!$B$9^3/12</f>
        <v>2500</v>
      </c>
      <c r="C14" s="14">
        <f>A14*'[1]Materials Properties'!$B$7^2/8</f>
        <v>28125</v>
      </c>
      <c r="D14" s="13">
        <f>C14*('[1]Materials Properties'!$B$9/2)/B14</f>
        <v>56.25</v>
      </c>
      <c r="E14" s="15">
        <f>5*A14*'[1]Materials Properties'!$B$7^4/(384*'[1]Materials Properties'!$B$2*B14)</f>
        <v>1.46484375</v>
      </c>
      <c r="F14" s="13">
        <f>'[1]Materials Properties'!$C$2/D14</f>
        <v>4.4444444444444446</v>
      </c>
    </row>
    <row r="15" spans="1:6" x14ac:dyDescent="0.3">
      <c r="A15" s="19">
        <v>1</v>
      </c>
      <c r="B15" s="13">
        <f>'[1]Materials Properties'!$B$8*'[1]Materials Properties'!$B$9^3/12</f>
        <v>2500</v>
      </c>
      <c r="C15" s="14">
        <f>A15*'[1]Materials Properties'!$B$7^2/8</f>
        <v>31250</v>
      </c>
      <c r="D15" s="13">
        <f>C15*('[1]Materials Properties'!$B$9/2)/B15</f>
        <v>62.5</v>
      </c>
      <c r="E15" s="15">
        <f>5*A15*'[1]Materials Properties'!$B$7^4/(384*'[1]Materials Properties'!$B$2*B15)</f>
        <v>1.6276041666666667</v>
      </c>
      <c r="F15" s="13">
        <f>'[1]Materials Properties'!$C$2/D15</f>
        <v>4</v>
      </c>
    </row>
    <row r="16" spans="1:6" x14ac:dyDescent="0.3">
      <c r="A16" s="19">
        <v>1.1000000000000001</v>
      </c>
      <c r="B16" s="13">
        <f>'[1]Materials Properties'!$B$8*'[1]Materials Properties'!$B$9^3/12</f>
        <v>2500</v>
      </c>
      <c r="C16" s="14">
        <f>A16*'[1]Materials Properties'!$B$7^2/8</f>
        <v>34375</v>
      </c>
      <c r="D16" s="13">
        <f>C16*('[1]Materials Properties'!$B$9/2)/B16</f>
        <v>68.75</v>
      </c>
      <c r="E16" s="15">
        <f>5*A16*'[1]Materials Properties'!$B$7^4/(384*'[1]Materials Properties'!$B$2*B16)</f>
        <v>1.7903645833333333</v>
      </c>
      <c r="F16" s="13">
        <f>'[1]Materials Properties'!$C$2/D16</f>
        <v>3.6363636363636362</v>
      </c>
    </row>
    <row r="17" spans="1:6" x14ac:dyDescent="0.3">
      <c r="A17" s="19">
        <v>1.2</v>
      </c>
      <c r="B17" s="13">
        <f>'[1]Materials Properties'!$B$8*'[1]Materials Properties'!$B$9^3/12</f>
        <v>2500</v>
      </c>
      <c r="C17" s="14">
        <f>A17*'[1]Materials Properties'!$B$7^2/8</f>
        <v>37500</v>
      </c>
      <c r="D17" s="13">
        <f>C17*('[1]Materials Properties'!$B$9/2)/B17</f>
        <v>75</v>
      </c>
      <c r="E17" s="15">
        <f>5*A17*'[1]Materials Properties'!$B$7^4/(384*'[1]Materials Properties'!$B$2*B17)</f>
        <v>1.953125</v>
      </c>
      <c r="F17" s="13">
        <f>'[1]Materials Properties'!$C$2/D17</f>
        <v>3.3333333333333335</v>
      </c>
    </row>
    <row r="18" spans="1:6" x14ac:dyDescent="0.3">
      <c r="A18" s="19">
        <v>1.3</v>
      </c>
      <c r="B18" s="13">
        <f>'[1]Materials Properties'!$B$8*'[1]Materials Properties'!$B$9^3/12</f>
        <v>2500</v>
      </c>
      <c r="C18" s="14">
        <f>A18*'[1]Materials Properties'!$B$7^2/8</f>
        <v>40625</v>
      </c>
      <c r="D18" s="13">
        <f>C18*('[1]Materials Properties'!$B$9/2)/B18</f>
        <v>81.25</v>
      </c>
      <c r="E18" s="15">
        <f>5*A18*'[1]Materials Properties'!$B$7^4/(384*'[1]Materials Properties'!$B$2*B18)</f>
        <v>2.1158854166666665</v>
      </c>
      <c r="F18" s="13">
        <f>'[1]Materials Properties'!$C$2/D18</f>
        <v>3.0769230769230771</v>
      </c>
    </row>
    <row r="19" spans="1:6" x14ac:dyDescent="0.3">
      <c r="A19" s="19">
        <v>1.4</v>
      </c>
      <c r="B19" s="13">
        <f>'[1]Materials Properties'!$B$8*'[1]Materials Properties'!$B$9^3/12</f>
        <v>2500</v>
      </c>
      <c r="C19" s="14">
        <f>A19*'[1]Materials Properties'!$B$7^2/8</f>
        <v>43750</v>
      </c>
      <c r="D19" s="13">
        <f>C19*('[1]Materials Properties'!$B$9/2)/B19</f>
        <v>87.5</v>
      </c>
      <c r="E19" s="15">
        <f>5*A19*'[1]Materials Properties'!$B$7^4/(384*'[1]Materials Properties'!$B$2*B19)</f>
        <v>2.2786458333333335</v>
      </c>
      <c r="F19" s="13">
        <f>'[1]Materials Properties'!$C$2/D19</f>
        <v>2.8571428571428572</v>
      </c>
    </row>
    <row r="20" spans="1:6" x14ac:dyDescent="0.3">
      <c r="A20" s="19">
        <v>1.5</v>
      </c>
      <c r="B20" s="13">
        <f>'[1]Materials Properties'!$B$8*'[1]Materials Properties'!$B$9^3/12</f>
        <v>2500</v>
      </c>
      <c r="C20" s="14">
        <f>A20*'[1]Materials Properties'!$B$7^2/8</f>
        <v>46875</v>
      </c>
      <c r="D20" s="13">
        <f>C20*('[1]Materials Properties'!$B$9/2)/B20</f>
        <v>93.75</v>
      </c>
      <c r="E20" s="15">
        <f>5*A20*'[1]Materials Properties'!$B$7^4/(384*'[1]Materials Properties'!$B$2*B20)</f>
        <v>2.44140625</v>
      </c>
      <c r="F20" s="13">
        <f>'[1]Materials Properties'!$C$2/D20</f>
        <v>2.6666666666666665</v>
      </c>
    </row>
    <row r="21" spans="1:6" x14ac:dyDescent="0.3">
      <c r="A21" s="19">
        <v>1.6</v>
      </c>
      <c r="B21" s="13">
        <f>'[1]Materials Properties'!$B$8*'[1]Materials Properties'!$B$9^3/12</f>
        <v>2500</v>
      </c>
      <c r="C21" s="14">
        <f>A21*'[1]Materials Properties'!$B$7^2/8</f>
        <v>50000</v>
      </c>
      <c r="D21" s="13">
        <f>C21*('[1]Materials Properties'!$B$9/2)/B21</f>
        <v>100</v>
      </c>
      <c r="E21" s="15">
        <f>5*A21*'[1]Materials Properties'!$B$7^4/(384*'[1]Materials Properties'!$B$2*B21)</f>
        <v>2.6041666666666665</v>
      </c>
      <c r="F21" s="13">
        <f>'[1]Materials Properties'!$C$2/D21</f>
        <v>2.5</v>
      </c>
    </row>
    <row r="22" spans="1:6" x14ac:dyDescent="0.3">
      <c r="A22" s="19">
        <v>1.7</v>
      </c>
      <c r="B22" s="13">
        <f>'[1]Materials Properties'!$B$8*'[1]Materials Properties'!$B$9^3/12</f>
        <v>2500</v>
      </c>
      <c r="C22" s="14">
        <f>A22*'[1]Materials Properties'!$B$7^2/8</f>
        <v>53125</v>
      </c>
      <c r="D22" s="13">
        <f>C22*('[1]Materials Properties'!$B$9/2)/B22</f>
        <v>106.25</v>
      </c>
      <c r="E22" s="15">
        <f>5*A22*'[1]Materials Properties'!$B$7^4/(384*'[1]Materials Properties'!$B$2*B22)</f>
        <v>2.7669270833333335</v>
      </c>
      <c r="F22" s="13">
        <f>'[1]Materials Properties'!$C$2/D22</f>
        <v>2.3529411764705883</v>
      </c>
    </row>
    <row r="23" spans="1:6" x14ac:dyDescent="0.3">
      <c r="A23" s="19">
        <v>1.8</v>
      </c>
      <c r="B23" s="13">
        <f>'[1]Materials Properties'!$B$8*'[1]Materials Properties'!$B$9^3/12</f>
        <v>2500</v>
      </c>
      <c r="C23" s="14">
        <f>A23*'[1]Materials Properties'!$B$7^2/8</f>
        <v>56250</v>
      </c>
      <c r="D23" s="13">
        <f>C23*('[1]Materials Properties'!$B$9/2)/B23</f>
        <v>112.5</v>
      </c>
      <c r="E23" s="15">
        <f>5*A23*'[1]Materials Properties'!$B$7^4/(384*'[1]Materials Properties'!$B$2*B23)</f>
        <v>2.9296875</v>
      </c>
      <c r="F23" s="13">
        <f>'[1]Materials Properties'!$C$2/D23</f>
        <v>2.2222222222222223</v>
      </c>
    </row>
    <row r="24" spans="1:6" x14ac:dyDescent="0.3">
      <c r="A24" s="19">
        <v>1.9</v>
      </c>
      <c r="B24" s="13">
        <f>'[1]Materials Properties'!$B$8*'[1]Materials Properties'!$B$9^3/12</f>
        <v>2500</v>
      </c>
      <c r="C24" s="14">
        <f>A24*'[1]Materials Properties'!$B$7^2/8</f>
        <v>59375</v>
      </c>
      <c r="D24" s="13">
        <f>C24*('[1]Materials Properties'!$B$9/2)/B24</f>
        <v>118.75</v>
      </c>
      <c r="E24" s="15">
        <f>5*A24*'[1]Materials Properties'!$B$7^4/(384*'[1]Materials Properties'!$B$2*B24)</f>
        <v>3.0924479166666665</v>
      </c>
      <c r="F24" s="13">
        <f>'[1]Materials Properties'!$C$2/D24</f>
        <v>2.1052631578947367</v>
      </c>
    </row>
    <row r="25" spans="1:6" x14ac:dyDescent="0.3">
      <c r="A25" s="19">
        <v>2</v>
      </c>
      <c r="B25" s="13">
        <f>'[1]Materials Properties'!$B$8*'[1]Materials Properties'!$B$9^3/12</f>
        <v>2500</v>
      </c>
      <c r="C25" s="14">
        <f>A25*'[1]Materials Properties'!$B$7^2/8</f>
        <v>62500</v>
      </c>
      <c r="D25" s="13">
        <f>C25*('[1]Materials Properties'!$B$9/2)/B25</f>
        <v>125</v>
      </c>
      <c r="E25" s="15">
        <f>5*A25*'[1]Materials Properties'!$B$7^4/(384*'[1]Materials Properties'!$B$2*B25)</f>
        <v>3.2552083333333335</v>
      </c>
      <c r="F25" s="13">
        <f>'[1]Materials Properties'!$C$2/D25</f>
        <v>2</v>
      </c>
    </row>
    <row r="27" spans="1:6" x14ac:dyDescent="0.3">
      <c r="A27" s="16" t="s">
        <v>20</v>
      </c>
      <c r="B27" s="8"/>
      <c r="C27" s="8"/>
      <c r="D27" s="8"/>
      <c r="E27" s="8"/>
      <c r="F27" s="8"/>
    </row>
    <row r="28" spans="1:6" ht="26.4" x14ac:dyDescent="0.3">
      <c r="A28" s="4" t="s">
        <v>24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11</v>
      </c>
    </row>
    <row r="29" spans="1:6" x14ac:dyDescent="0.3">
      <c r="A29" s="19">
        <v>0.1</v>
      </c>
      <c r="B29" s="13">
        <f>'[1]Materials Properties'!$B$8*'[1]Materials Properties'!$B$9^3/12</f>
        <v>2500</v>
      </c>
      <c r="C29" s="14">
        <f>A29*'[1]Materials Properties'!$B$7^2/8</f>
        <v>3125</v>
      </c>
      <c r="D29" s="13">
        <f>C29*('[1]Materials Properties'!$B$9/2)/B29</f>
        <v>6.25</v>
      </c>
      <c r="E29" s="15">
        <f>5*A29*'[1]Materials Properties'!$B$7^4/(384*'[1]Materials Properties'!$B$3*B29)</f>
        <v>0.4717693236714976</v>
      </c>
      <c r="F29" s="13">
        <f>'[1]Materials Properties'!$C$3/D29</f>
        <v>44.16</v>
      </c>
    </row>
    <row r="30" spans="1:6" x14ac:dyDescent="0.3">
      <c r="A30" s="19">
        <v>0.2</v>
      </c>
      <c r="B30" s="13">
        <f>'[1]Materials Properties'!$B$8*'[1]Materials Properties'!$B$9^3/12</f>
        <v>2500</v>
      </c>
      <c r="C30" s="14">
        <f>A30*'[1]Materials Properties'!$B$7^2/8</f>
        <v>6250</v>
      </c>
      <c r="D30" s="13">
        <f>C30*('[1]Materials Properties'!$B$9/2)/B30</f>
        <v>12.5</v>
      </c>
      <c r="E30" s="15">
        <f>5*A30*'[1]Materials Properties'!$B$7^4/(384*'[1]Materials Properties'!$B$3*B30)</f>
        <v>0.9435386473429952</v>
      </c>
      <c r="F30" s="13">
        <f>'[1]Materials Properties'!$C$3/D30</f>
        <v>22.08</v>
      </c>
    </row>
    <row r="31" spans="1:6" x14ac:dyDescent="0.3">
      <c r="A31" s="19">
        <v>0.3</v>
      </c>
      <c r="B31" s="13">
        <f>'[1]Materials Properties'!$B$8*'[1]Materials Properties'!$B$9^3/12</f>
        <v>2500</v>
      </c>
      <c r="C31" s="14">
        <f>A31*'[1]Materials Properties'!$B$7^2/8</f>
        <v>9375</v>
      </c>
      <c r="D31" s="13">
        <f>C31*('[1]Materials Properties'!$B$9/2)/B31</f>
        <v>18.75</v>
      </c>
      <c r="E31" s="15">
        <f>5*A31*'[1]Materials Properties'!$B$7^4/(384*'[1]Materials Properties'!$B$3*B31)</f>
        <v>1.4153079710144927</v>
      </c>
      <c r="F31" s="13">
        <f>'[1]Materials Properties'!$C$3/D31</f>
        <v>14.72</v>
      </c>
    </row>
    <row r="32" spans="1:6" x14ac:dyDescent="0.3">
      <c r="A32" s="19">
        <v>0.4</v>
      </c>
      <c r="B32" s="13">
        <f>'[1]Materials Properties'!$B$8*'[1]Materials Properties'!$B$9^3/12</f>
        <v>2500</v>
      </c>
      <c r="C32" s="14">
        <f>A32*'[1]Materials Properties'!$B$7^2/8</f>
        <v>12500</v>
      </c>
      <c r="D32" s="13">
        <f>C32*('[1]Materials Properties'!$B$9/2)/B32</f>
        <v>25</v>
      </c>
      <c r="E32" s="15">
        <f>5*A32*'[1]Materials Properties'!$B$7^4/(384*'[1]Materials Properties'!$B$3*B32)</f>
        <v>1.8870772946859904</v>
      </c>
      <c r="F32" s="13">
        <f>'[1]Materials Properties'!$C$3/D32</f>
        <v>11.04</v>
      </c>
    </row>
    <row r="33" spans="1:6" x14ac:dyDescent="0.3">
      <c r="A33" s="19">
        <v>0.5</v>
      </c>
      <c r="B33" s="13">
        <f>'[1]Materials Properties'!$B$8*'[1]Materials Properties'!$B$9^3/12</f>
        <v>2500</v>
      </c>
      <c r="C33" s="14">
        <f>A33*'[1]Materials Properties'!$B$7^2/8</f>
        <v>15625</v>
      </c>
      <c r="D33" s="13">
        <f>C33*('[1]Materials Properties'!$B$9/2)/B33</f>
        <v>31.25</v>
      </c>
      <c r="E33" s="15">
        <f>5*A33*'[1]Materials Properties'!$B$7^4/(384*'[1]Materials Properties'!$B$3*B33)</f>
        <v>2.3588466183574881</v>
      </c>
      <c r="F33" s="13">
        <f>'[1]Materials Properties'!$C$3/D33</f>
        <v>8.8320000000000007</v>
      </c>
    </row>
    <row r="34" spans="1:6" x14ac:dyDescent="0.3">
      <c r="A34" s="19">
        <v>0.6</v>
      </c>
      <c r="B34" s="13">
        <f>'[1]Materials Properties'!$B$8*'[1]Materials Properties'!$B$9^3/12</f>
        <v>2500</v>
      </c>
      <c r="C34" s="14">
        <f>A34*'[1]Materials Properties'!$B$7^2/8</f>
        <v>18750</v>
      </c>
      <c r="D34" s="13">
        <f>C34*('[1]Materials Properties'!$B$9/2)/B34</f>
        <v>37.5</v>
      </c>
      <c r="E34" s="15">
        <f>5*A34*'[1]Materials Properties'!$B$7^4/(384*'[1]Materials Properties'!$B$3*B34)</f>
        <v>2.8306159420289854</v>
      </c>
      <c r="F34" s="13">
        <f>'[1]Materials Properties'!$C$3/D34</f>
        <v>7.36</v>
      </c>
    </row>
    <row r="35" spans="1:6" x14ac:dyDescent="0.3">
      <c r="A35" s="19">
        <v>0.7</v>
      </c>
      <c r="B35" s="13">
        <f>'[1]Materials Properties'!$B$8*'[1]Materials Properties'!$B$9^3/12</f>
        <v>2500</v>
      </c>
      <c r="C35" s="14">
        <f>A35*'[1]Materials Properties'!$B$7^2/8</f>
        <v>21875</v>
      </c>
      <c r="D35" s="13">
        <f>C35*('[1]Materials Properties'!$B$9/2)/B35</f>
        <v>43.75</v>
      </c>
      <c r="E35" s="15">
        <f>5*A35*'[1]Materials Properties'!$B$7^4/(384*'[1]Materials Properties'!$B$3*B35)</f>
        <v>3.3023852657004831</v>
      </c>
      <c r="F35" s="13">
        <f>'[1]Materials Properties'!$C$3/D35</f>
        <v>6.3085714285714287</v>
      </c>
    </row>
    <row r="36" spans="1:6" x14ac:dyDescent="0.3">
      <c r="A36" s="19">
        <v>0.8</v>
      </c>
      <c r="B36" s="13">
        <f>'[1]Materials Properties'!$B$8*'[1]Materials Properties'!$B$9^3/12</f>
        <v>2500</v>
      </c>
      <c r="C36" s="14">
        <f>A36*'[1]Materials Properties'!$B$7^2/8</f>
        <v>25000</v>
      </c>
      <c r="D36" s="13">
        <f>C36*('[1]Materials Properties'!$B$9/2)/B36</f>
        <v>50</v>
      </c>
      <c r="E36" s="15">
        <f>5*A36*'[1]Materials Properties'!$B$7^4/(384*'[1]Materials Properties'!$B$3*B36)</f>
        <v>3.7741545893719808</v>
      </c>
      <c r="F36" s="13">
        <f>'[1]Materials Properties'!$C$3/D36</f>
        <v>5.52</v>
      </c>
    </row>
    <row r="37" spans="1:6" x14ac:dyDescent="0.3">
      <c r="A37" s="19">
        <v>0.9</v>
      </c>
      <c r="B37" s="13">
        <f>'[1]Materials Properties'!$B$8*'[1]Materials Properties'!$B$9^3/12</f>
        <v>2500</v>
      </c>
      <c r="C37" s="14">
        <f>A37*'[1]Materials Properties'!$B$7^2/8</f>
        <v>28125</v>
      </c>
      <c r="D37" s="13">
        <f>C37*('[1]Materials Properties'!$B$9/2)/B37</f>
        <v>56.25</v>
      </c>
      <c r="E37" s="15">
        <f>5*A37*'[1]Materials Properties'!$B$7^4/(384*'[1]Materials Properties'!$B$3*B37)</f>
        <v>4.2459239130434785</v>
      </c>
      <c r="F37" s="13">
        <f>'[1]Materials Properties'!$C$3/D37</f>
        <v>4.9066666666666663</v>
      </c>
    </row>
    <row r="38" spans="1:6" x14ac:dyDescent="0.3">
      <c r="A38" s="19">
        <v>1</v>
      </c>
      <c r="B38" s="13">
        <f>'[1]Materials Properties'!$B$8*'[1]Materials Properties'!$B$9^3/12</f>
        <v>2500</v>
      </c>
      <c r="C38" s="14">
        <f>A38*'[1]Materials Properties'!$B$7^2/8</f>
        <v>31250</v>
      </c>
      <c r="D38" s="13">
        <f>C38*('[1]Materials Properties'!$B$9/2)/B38</f>
        <v>62.5</v>
      </c>
      <c r="E38" s="15">
        <f>5*A38*'[1]Materials Properties'!$B$7^4/(384*'[1]Materials Properties'!$B$3*B38)</f>
        <v>4.7176932367149762</v>
      </c>
      <c r="F38" s="13">
        <f>'[1]Materials Properties'!$C$3/D38</f>
        <v>4.4160000000000004</v>
      </c>
    </row>
    <row r="39" spans="1:6" x14ac:dyDescent="0.3">
      <c r="A39" s="19">
        <v>1.1000000000000001</v>
      </c>
      <c r="B39" s="13">
        <f>'[1]Materials Properties'!$B$8*'[1]Materials Properties'!$B$9^3/12</f>
        <v>2500</v>
      </c>
      <c r="C39" s="14">
        <f>A39*'[1]Materials Properties'!$B$7^2/8</f>
        <v>34375</v>
      </c>
      <c r="D39" s="13">
        <f>C39*('[1]Materials Properties'!$B$9/2)/B39</f>
        <v>68.75</v>
      </c>
      <c r="E39" s="15">
        <f>5*A39*'[1]Materials Properties'!$B$7^4/(384*'[1]Materials Properties'!$B$3*B39)</f>
        <v>5.189462560386473</v>
      </c>
      <c r="F39" s="13">
        <f>'[1]Materials Properties'!$C$3/D39</f>
        <v>4.0145454545454546</v>
      </c>
    </row>
    <row r="40" spans="1:6" x14ac:dyDescent="0.3">
      <c r="A40" s="19">
        <v>1.2</v>
      </c>
      <c r="B40" s="13">
        <f>'[1]Materials Properties'!$B$8*'[1]Materials Properties'!$B$9^3/12</f>
        <v>2500</v>
      </c>
      <c r="C40" s="14">
        <f>A40*'[1]Materials Properties'!$B$7^2/8</f>
        <v>37500</v>
      </c>
      <c r="D40" s="13">
        <f>C40*('[1]Materials Properties'!$B$9/2)/B40</f>
        <v>75</v>
      </c>
      <c r="E40" s="15">
        <f>5*A40*'[1]Materials Properties'!$B$7^4/(384*'[1]Materials Properties'!$B$3*B40)</f>
        <v>5.6612318840579707</v>
      </c>
      <c r="F40" s="13">
        <f>'[1]Materials Properties'!$C$3/D40</f>
        <v>3.68</v>
      </c>
    </row>
    <row r="41" spans="1:6" x14ac:dyDescent="0.3">
      <c r="A41" s="19">
        <v>1.3</v>
      </c>
      <c r="B41" s="13">
        <f>'[1]Materials Properties'!$B$8*'[1]Materials Properties'!$B$9^3/12</f>
        <v>2500</v>
      </c>
      <c r="C41" s="14">
        <f>A41*'[1]Materials Properties'!$B$7^2/8</f>
        <v>40625</v>
      </c>
      <c r="D41" s="13">
        <f>C41*('[1]Materials Properties'!$B$9/2)/B41</f>
        <v>81.25</v>
      </c>
      <c r="E41" s="15">
        <f>5*A41*'[1]Materials Properties'!$B$7^4/(384*'[1]Materials Properties'!$B$3*B41)</f>
        <v>6.1330012077294684</v>
      </c>
      <c r="F41" s="13">
        <f>'[1]Materials Properties'!$C$3/D41</f>
        <v>3.3969230769230769</v>
      </c>
    </row>
    <row r="42" spans="1:6" x14ac:dyDescent="0.3">
      <c r="A42" s="19">
        <v>1.4</v>
      </c>
      <c r="B42" s="13">
        <f>'[1]Materials Properties'!$B$8*'[1]Materials Properties'!$B$9^3/12</f>
        <v>2500</v>
      </c>
      <c r="C42" s="14">
        <f>A42*'[1]Materials Properties'!$B$7^2/8</f>
        <v>43750</v>
      </c>
      <c r="D42" s="13">
        <f>C42*('[1]Materials Properties'!$B$9/2)/B42</f>
        <v>87.5</v>
      </c>
      <c r="E42" s="15">
        <f>5*A42*'[1]Materials Properties'!$B$7^4/(384*'[1]Materials Properties'!$B$3*B42)</f>
        <v>6.6047705314009661</v>
      </c>
      <c r="F42" s="13">
        <f>'[1]Materials Properties'!$C$3/D42</f>
        <v>3.1542857142857144</v>
      </c>
    </row>
    <row r="43" spans="1:6" x14ac:dyDescent="0.3">
      <c r="A43" s="19">
        <v>1.5</v>
      </c>
      <c r="B43" s="13">
        <f>'[1]Materials Properties'!$B$8*'[1]Materials Properties'!$B$9^3/12</f>
        <v>2500</v>
      </c>
      <c r="C43" s="14">
        <f>A43*'[1]Materials Properties'!$B$7^2/8</f>
        <v>46875</v>
      </c>
      <c r="D43" s="13">
        <f>C43*('[1]Materials Properties'!$B$9/2)/B43</f>
        <v>93.75</v>
      </c>
      <c r="E43" s="15">
        <f>5*A43*'[1]Materials Properties'!$B$7^4/(384*'[1]Materials Properties'!$B$3*B43)</f>
        <v>7.0765398550724639</v>
      </c>
      <c r="F43" s="13">
        <f>'[1]Materials Properties'!$C$3/D43</f>
        <v>2.944</v>
      </c>
    </row>
    <row r="44" spans="1:6" x14ac:dyDescent="0.3">
      <c r="A44" s="19">
        <v>1.6</v>
      </c>
      <c r="B44" s="13">
        <f>'[1]Materials Properties'!$B$8*'[1]Materials Properties'!$B$9^3/12</f>
        <v>2500</v>
      </c>
      <c r="C44" s="14">
        <f>A44*'[1]Materials Properties'!$B$7^2/8</f>
        <v>50000</v>
      </c>
      <c r="D44" s="13">
        <f>C44*('[1]Materials Properties'!$B$9/2)/B44</f>
        <v>100</v>
      </c>
      <c r="E44" s="15">
        <f>5*A44*'[1]Materials Properties'!$B$7^4/(384*'[1]Materials Properties'!$B$3*B44)</f>
        <v>7.5483091787439616</v>
      </c>
      <c r="F44" s="13">
        <f>'[1]Materials Properties'!$C$3/D44</f>
        <v>2.76</v>
      </c>
    </row>
    <row r="45" spans="1:6" x14ac:dyDescent="0.3">
      <c r="A45" s="19">
        <v>1.7</v>
      </c>
      <c r="B45" s="13">
        <f>'[1]Materials Properties'!$B$8*'[1]Materials Properties'!$B$9^3/12</f>
        <v>2500</v>
      </c>
      <c r="C45" s="14">
        <f>A45*'[1]Materials Properties'!$B$7^2/8</f>
        <v>53125</v>
      </c>
      <c r="D45" s="13">
        <f>C45*('[1]Materials Properties'!$B$9/2)/B45</f>
        <v>106.25</v>
      </c>
      <c r="E45" s="15">
        <f>5*A45*'[1]Materials Properties'!$B$7^4/(384*'[1]Materials Properties'!$B$3*B45)</f>
        <v>8.0200785024154584</v>
      </c>
      <c r="F45" s="13">
        <f>'[1]Materials Properties'!$C$3/D45</f>
        <v>2.5976470588235294</v>
      </c>
    </row>
    <row r="46" spans="1:6" x14ac:dyDescent="0.3">
      <c r="A46" s="19">
        <v>1.8</v>
      </c>
      <c r="B46" s="13">
        <f>'[1]Materials Properties'!$B$8*'[1]Materials Properties'!$B$9^3/12</f>
        <v>2500</v>
      </c>
      <c r="C46" s="14">
        <f>A46*'[1]Materials Properties'!$B$7^2/8</f>
        <v>56250</v>
      </c>
      <c r="D46" s="13">
        <f>C46*('[1]Materials Properties'!$B$9/2)/B46</f>
        <v>112.5</v>
      </c>
      <c r="E46" s="15">
        <f>5*A46*'[1]Materials Properties'!$B$7^4/(384*'[1]Materials Properties'!$B$3*B46)</f>
        <v>8.491847826086957</v>
      </c>
      <c r="F46" s="13">
        <f>'[1]Materials Properties'!$C$3/D46</f>
        <v>2.4533333333333331</v>
      </c>
    </row>
    <row r="47" spans="1:6" x14ac:dyDescent="0.3">
      <c r="A47" s="19">
        <v>1.9</v>
      </c>
      <c r="B47" s="13">
        <f>'[1]Materials Properties'!$B$8*'[1]Materials Properties'!$B$9^3/12</f>
        <v>2500</v>
      </c>
      <c r="C47" s="14">
        <f>A47*'[1]Materials Properties'!$B$7^2/8</f>
        <v>59375</v>
      </c>
      <c r="D47" s="13">
        <f>C47*('[1]Materials Properties'!$B$9/2)/B47</f>
        <v>118.75</v>
      </c>
      <c r="E47" s="15">
        <f>5*A47*'[1]Materials Properties'!$B$7^4/(384*'[1]Materials Properties'!$B$3*B47)</f>
        <v>8.9636171497584538</v>
      </c>
      <c r="F47" s="13">
        <f>'[1]Materials Properties'!$C$3/D47</f>
        <v>2.3242105263157895</v>
      </c>
    </row>
    <row r="48" spans="1:6" x14ac:dyDescent="0.3">
      <c r="A48" s="19">
        <v>2</v>
      </c>
      <c r="B48" s="13">
        <f>'[1]Materials Properties'!$B$8*'[1]Materials Properties'!$B$9^3/12</f>
        <v>2500</v>
      </c>
      <c r="C48" s="14">
        <f>A48*'[1]Materials Properties'!$B$7^2/8</f>
        <v>62500</v>
      </c>
      <c r="D48" s="13">
        <f>C48*('[1]Materials Properties'!$B$9/2)/B48</f>
        <v>125</v>
      </c>
      <c r="E48" s="15">
        <f>5*A48*'[1]Materials Properties'!$B$7^4/(384*'[1]Materials Properties'!$B$3*B48)</f>
        <v>9.4353864734299524</v>
      </c>
      <c r="F48" s="13">
        <f>'[1]Materials Properties'!$C$3/D48</f>
        <v>2.2080000000000002</v>
      </c>
    </row>
    <row r="50" spans="1:6" x14ac:dyDescent="0.3">
      <c r="A50" s="17" t="s">
        <v>21</v>
      </c>
      <c r="B50" s="8"/>
      <c r="C50" s="8"/>
      <c r="D50" s="8"/>
      <c r="E50" s="8"/>
      <c r="F50" s="8"/>
    </row>
    <row r="51" spans="1:6" ht="26.4" x14ac:dyDescent="0.3">
      <c r="A51" s="4" t="s">
        <v>24</v>
      </c>
      <c r="B51" s="4" t="s">
        <v>12</v>
      </c>
      <c r="C51" s="4" t="s">
        <v>13</v>
      </c>
      <c r="D51" s="4" t="s">
        <v>14</v>
      </c>
      <c r="E51" s="4" t="s">
        <v>15</v>
      </c>
      <c r="F51" s="4" t="s">
        <v>11</v>
      </c>
    </row>
    <row r="52" spans="1:6" x14ac:dyDescent="0.3">
      <c r="A52" s="19">
        <v>0.1</v>
      </c>
      <c r="B52" s="13">
        <f>'[1]Materials Properties'!$B$8*'[1]Materials Properties'!$B$9^3/12</f>
        <v>2500</v>
      </c>
      <c r="C52" s="14">
        <f>A52*'[1]Materials Properties'!$B$7^2/8</f>
        <v>3125</v>
      </c>
      <c r="D52" s="13">
        <f>C52*('[1]Materials Properties'!$B$9/2)/B52</f>
        <v>6.25</v>
      </c>
      <c r="E52" s="15">
        <f>5*A52*'[1]Materials Properties'!$B$7^4/(384*'[1]Materials Properties'!$B$4*B52)</f>
        <v>0.27822293447293445</v>
      </c>
      <c r="F52" s="13">
        <f>'[1]Materials Properties'!$C$4/D52</f>
        <v>11.2</v>
      </c>
    </row>
    <row r="53" spans="1:6" x14ac:dyDescent="0.3">
      <c r="A53" s="19">
        <v>0.2</v>
      </c>
      <c r="B53" s="13">
        <f>'[1]Materials Properties'!$B$8*'[1]Materials Properties'!$B$9^3/12</f>
        <v>2500</v>
      </c>
      <c r="C53" s="14">
        <f>A53*'[1]Materials Properties'!$B$7^2/8</f>
        <v>6250</v>
      </c>
      <c r="D53" s="13">
        <f>C53*('[1]Materials Properties'!$B$9/2)/B53</f>
        <v>12.5</v>
      </c>
      <c r="E53" s="15">
        <f>5*A53*'[1]Materials Properties'!$B$7^4/(384*'[1]Materials Properties'!$B$4*B53)</f>
        <v>0.55644586894586889</v>
      </c>
      <c r="F53" s="13">
        <f>'[1]Materials Properties'!$C$4/D53</f>
        <v>5.6</v>
      </c>
    </row>
    <row r="54" spans="1:6" x14ac:dyDescent="0.3">
      <c r="A54" s="19">
        <v>0.3</v>
      </c>
      <c r="B54" s="13">
        <f>'[1]Materials Properties'!$B$8*'[1]Materials Properties'!$B$9^3/12</f>
        <v>2500</v>
      </c>
      <c r="C54" s="14">
        <f>A54*'[1]Materials Properties'!$B$7^2/8</f>
        <v>9375</v>
      </c>
      <c r="D54" s="13">
        <f>C54*('[1]Materials Properties'!$B$9/2)/B54</f>
        <v>18.75</v>
      </c>
      <c r="E54" s="15">
        <f>5*A54*'[1]Materials Properties'!$B$7^4/(384*'[1]Materials Properties'!$B$4*B54)</f>
        <v>0.83466880341880345</v>
      </c>
      <c r="F54" s="13">
        <f>'[1]Materials Properties'!$C$4/D54</f>
        <v>3.7333333333333334</v>
      </c>
    </row>
    <row r="55" spans="1:6" x14ac:dyDescent="0.3">
      <c r="A55" s="19">
        <v>0.4</v>
      </c>
      <c r="B55" s="13">
        <f>'[1]Materials Properties'!$B$8*'[1]Materials Properties'!$B$9^3/12</f>
        <v>2500</v>
      </c>
      <c r="C55" s="14">
        <f>A55*'[1]Materials Properties'!$B$7^2/8</f>
        <v>12500</v>
      </c>
      <c r="D55" s="13">
        <f>C55*('[1]Materials Properties'!$B$9/2)/B55</f>
        <v>25</v>
      </c>
      <c r="E55" s="15">
        <f>5*A55*'[1]Materials Properties'!$B$7^4/(384*'[1]Materials Properties'!$B$4*B55)</f>
        <v>1.1128917378917378</v>
      </c>
      <c r="F55" s="13">
        <f>'[1]Materials Properties'!$C$4/D55</f>
        <v>2.8</v>
      </c>
    </row>
    <row r="56" spans="1:6" x14ac:dyDescent="0.3">
      <c r="A56" s="19">
        <v>0.5</v>
      </c>
      <c r="B56" s="13">
        <f>'[1]Materials Properties'!$B$8*'[1]Materials Properties'!$B$9^3/12</f>
        <v>2500</v>
      </c>
      <c r="C56" s="14">
        <f>A56*'[1]Materials Properties'!$B$7^2/8</f>
        <v>15625</v>
      </c>
      <c r="D56" s="13">
        <f>C56*('[1]Materials Properties'!$B$9/2)/B56</f>
        <v>31.25</v>
      </c>
      <c r="E56" s="15">
        <f>5*A56*'[1]Materials Properties'!$B$7^4/(384*'[1]Materials Properties'!$B$4*B56)</f>
        <v>1.3911146723646723</v>
      </c>
      <c r="F56" s="13">
        <f>'[1]Materials Properties'!$C$4/D56</f>
        <v>2.2400000000000002</v>
      </c>
    </row>
    <row r="57" spans="1:6" x14ac:dyDescent="0.3">
      <c r="A57" s="19">
        <v>0.6</v>
      </c>
      <c r="B57" s="13">
        <f>'[1]Materials Properties'!$B$8*'[1]Materials Properties'!$B$9^3/12</f>
        <v>2500</v>
      </c>
      <c r="C57" s="14">
        <f>A57*'[1]Materials Properties'!$B$7^2/8</f>
        <v>18750</v>
      </c>
      <c r="D57" s="13">
        <f>C57*('[1]Materials Properties'!$B$9/2)/B57</f>
        <v>37.5</v>
      </c>
      <c r="E57" s="15">
        <f>5*A57*'[1]Materials Properties'!$B$7^4/(384*'[1]Materials Properties'!$B$4*B57)</f>
        <v>1.6693376068376069</v>
      </c>
      <c r="F57" s="13">
        <f>'[1]Materials Properties'!$C$4/D57</f>
        <v>1.8666666666666667</v>
      </c>
    </row>
    <row r="58" spans="1:6" x14ac:dyDescent="0.3">
      <c r="A58" s="19">
        <v>0.7</v>
      </c>
      <c r="B58" s="13">
        <f>'[1]Materials Properties'!$B$8*'[1]Materials Properties'!$B$9^3/12</f>
        <v>2500</v>
      </c>
      <c r="C58" s="14">
        <f>A58*'[1]Materials Properties'!$B$7^2/8</f>
        <v>21875</v>
      </c>
      <c r="D58" s="13">
        <f>C58*('[1]Materials Properties'!$B$9/2)/B58</f>
        <v>43.75</v>
      </c>
      <c r="E58" s="15">
        <f>5*A58*'[1]Materials Properties'!$B$7^4/(384*'[1]Materials Properties'!$B$4*B58)</f>
        <v>1.9475605413105412</v>
      </c>
      <c r="F58" s="13">
        <f>'[1]Materials Properties'!$C$4/D58</f>
        <v>1.6</v>
      </c>
    </row>
    <row r="59" spans="1:6" x14ac:dyDescent="0.3">
      <c r="A59" s="19">
        <v>0.8</v>
      </c>
      <c r="B59" s="13">
        <f>'[1]Materials Properties'!$B$8*'[1]Materials Properties'!$B$9^3/12</f>
        <v>2500</v>
      </c>
      <c r="C59" s="14">
        <f>A59*'[1]Materials Properties'!$B$7^2/8</f>
        <v>25000</v>
      </c>
      <c r="D59" s="13">
        <f>C59*('[1]Materials Properties'!$B$9/2)/B59</f>
        <v>50</v>
      </c>
      <c r="E59" s="15">
        <f>5*A59*'[1]Materials Properties'!$B$7^4/(384*'[1]Materials Properties'!$B$4*B59)</f>
        <v>2.2257834757834756</v>
      </c>
      <c r="F59" s="13">
        <f>'[1]Materials Properties'!$C$4/D59</f>
        <v>1.4</v>
      </c>
    </row>
    <row r="60" spans="1:6" x14ac:dyDescent="0.3">
      <c r="A60" s="19">
        <v>0.9</v>
      </c>
      <c r="B60" s="13">
        <f>'[1]Materials Properties'!$B$8*'[1]Materials Properties'!$B$9^3/12</f>
        <v>2500</v>
      </c>
      <c r="C60" s="14">
        <f>A60*'[1]Materials Properties'!$B$7^2/8</f>
        <v>28125</v>
      </c>
      <c r="D60" s="13">
        <f>C60*('[1]Materials Properties'!$B$9/2)/B60</f>
        <v>56.25</v>
      </c>
      <c r="E60" s="15">
        <f>5*A60*'[1]Materials Properties'!$B$7^4/(384*'[1]Materials Properties'!$B$4*B60)</f>
        <v>2.5040064102564101</v>
      </c>
      <c r="F60" s="13">
        <f>'[1]Materials Properties'!$C$4/D60</f>
        <v>1.2444444444444445</v>
      </c>
    </row>
    <row r="61" spans="1:6" x14ac:dyDescent="0.3">
      <c r="A61" s="19">
        <v>1</v>
      </c>
      <c r="B61" s="13">
        <f>'[1]Materials Properties'!$B$8*'[1]Materials Properties'!$B$9^3/12</f>
        <v>2500</v>
      </c>
      <c r="C61" s="14">
        <f>A61*'[1]Materials Properties'!$B$7^2/8</f>
        <v>31250</v>
      </c>
      <c r="D61" s="13">
        <f>C61*('[1]Materials Properties'!$B$9/2)/B61</f>
        <v>62.5</v>
      </c>
      <c r="E61" s="15">
        <f>5*A61*'[1]Materials Properties'!$B$7^4/(384*'[1]Materials Properties'!$B$4*B61)</f>
        <v>2.7822293447293447</v>
      </c>
      <c r="F61" s="13">
        <f>'[1]Materials Properties'!$C$4/D61</f>
        <v>1.1200000000000001</v>
      </c>
    </row>
    <row r="62" spans="1:6" x14ac:dyDescent="0.3">
      <c r="A62" s="19">
        <v>1.1000000000000001</v>
      </c>
      <c r="B62" s="13">
        <f>'[1]Materials Properties'!$B$8*'[1]Materials Properties'!$B$9^3/12</f>
        <v>2500</v>
      </c>
      <c r="C62" s="14">
        <f>A62*'[1]Materials Properties'!$B$7^2/8</f>
        <v>34375</v>
      </c>
      <c r="D62" s="13">
        <f>C62*('[1]Materials Properties'!$B$9/2)/B62</f>
        <v>68.75</v>
      </c>
      <c r="E62" s="15">
        <f>5*A62*'[1]Materials Properties'!$B$7^4/(384*'[1]Materials Properties'!$B$4*B62)</f>
        <v>3.0604522792022792</v>
      </c>
      <c r="F62" s="13">
        <f>'[1]Materials Properties'!$C$4/D62</f>
        <v>1.0181818181818181</v>
      </c>
    </row>
    <row r="63" spans="1:6" x14ac:dyDescent="0.3">
      <c r="A63" s="19">
        <v>1.2</v>
      </c>
      <c r="B63" s="13">
        <f>'[1]Materials Properties'!$B$8*'[1]Materials Properties'!$B$9^3/12</f>
        <v>2500</v>
      </c>
      <c r="C63" s="14">
        <f>A63*'[1]Materials Properties'!$B$7^2/8</f>
        <v>37500</v>
      </c>
      <c r="D63" s="13">
        <f>C63*('[1]Materials Properties'!$B$9/2)/B63</f>
        <v>75</v>
      </c>
      <c r="E63" s="15">
        <f>5*A63*'[1]Materials Properties'!$B$7^4/(384*'[1]Materials Properties'!$B$4*B63)</f>
        <v>3.3386752136752138</v>
      </c>
      <c r="F63" s="13">
        <f>'[1]Materials Properties'!$C$4/D63</f>
        <v>0.93333333333333335</v>
      </c>
    </row>
    <row r="64" spans="1:6" x14ac:dyDescent="0.3">
      <c r="A64" s="19">
        <v>1.3</v>
      </c>
      <c r="B64" s="13">
        <f>'[1]Materials Properties'!$B$8*'[1]Materials Properties'!$B$9^3/12</f>
        <v>2500</v>
      </c>
      <c r="C64" s="14">
        <f>A64*'[1]Materials Properties'!$B$7^2/8</f>
        <v>40625</v>
      </c>
      <c r="D64" s="13">
        <f>C64*('[1]Materials Properties'!$B$9/2)/B64</f>
        <v>81.25</v>
      </c>
      <c r="E64" s="15">
        <f>5*A64*'[1]Materials Properties'!$B$7^4/(384*'[1]Materials Properties'!$B$4*B64)</f>
        <v>3.6168981481481484</v>
      </c>
      <c r="F64" s="13">
        <f>'[1]Materials Properties'!$C$4/D64</f>
        <v>0.86153846153846159</v>
      </c>
    </row>
    <row r="65" spans="1:6" x14ac:dyDescent="0.3">
      <c r="A65" s="19">
        <v>1.4</v>
      </c>
      <c r="B65" s="13">
        <f>'[1]Materials Properties'!$B$8*'[1]Materials Properties'!$B$9^3/12</f>
        <v>2500</v>
      </c>
      <c r="C65" s="14">
        <f>A65*'[1]Materials Properties'!$B$7^2/8</f>
        <v>43750</v>
      </c>
      <c r="D65" s="13">
        <f>C65*('[1]Materials Properties'!$B$9/2)/B65</f>
        <v>87.5</v>
      </c>
      <c r="E65" s="15">
        <f>5*A65*'[1]Materials Properties'!$B$7^4/(384*'[1]Materials Properties'!$B$4*B65)</f>
        <v>3.8951210826210825</v>
      </c>
      <c r="F65" s="13">
        <f>'[1]Materials Properties'!$C$4/D65</f>
        <v>0.8</v>
      </c>
    </row>
    <row r="66" spans="1:6" x14ac:dyDescent="0.3">
      <c r="A66" s="19">
        <v>1.5</v>
      </c>
      <c r="B66" s="13">
        <f>'[1]Materials Properties'!$B$8*'[1]Materials Properties'!$B$9^3/12</f>
        <v>2500</v>
      </c>
      <c r="C66" s="14">
        <f>A66*'[1]Materials Properties'!$B$7^2/8</f>
        <v>46875</v>
      </c>
      <c r="D66" s="13">
        <f>C66*('[1]Materials Properties'!$B$9/2)/B66</f>
        <v>93.75</v>
      </c>
      <c r="E66" s="15">
        <f>5*A66*'[1]Materials Properties'!$B$7^4/(384*'[1]Materials Properties'!$B$4*B66)</f>
        <v>4.173344017094017</v>
      </c>
      <c r="F66" s="13">
        <f>'[1]Materials Properties'!$C$4/D66</f>
        <v>0.7466666666666667</v>
      </c>
    </row>
    <row r="67" spans="1:6" x14ac:dyDescent="0.3">
      <c r="A67" s="19">
        <v>1.6</v>
      </c>
      <c r="B67" s="13">
        <f>'[1]Materials Properties'!$B$8*'[1]Materials Properties'!$B$9^3/12</f>
        <v>2500</v>
      </c>
      <c r="C67" s="14">
        <f>A67*'[1]Materials Properties'!$B$7^2/8</f>
        <v>50000</v>
      </c>
      <c r="D67" s="13">
        <f>C67*('[1]Materials Properties'!$B$9/2)/B67</f>
        <v>100</v>
      </c>
      <c r="E67" s="15">
        <f>5*A67*'[1]Materials Properties'!$B$7^4/(384*'[1]Materials Properties'!$B$4*B67)</f>
        <v>4.4515669515669511</v>
      </c>
      <c r="F67" s="13">
        <f>'[1]Materials Properties'!$C$4/D67</f>
        <v>0.7</v>
      </c>
    </row>
    <row r="68" spans="1:6" x14ac:dyDescent="0.3">
      <c r="A68" s="19">
        <v>1.7</v>
      </c>
      <c r="B68" s="13">
        <f>'[1]Materials Properties'!$B$8*'[1]Materials Properties'!$B$9^3/12</f>
        <v>2500</v>
      </c>
      <c r="C68" s="14">
        <f>A68*'[1]Materials Properties'!$B$7^2/8</f>
        <v>53125</v>
      </c>
      <c r="D68" s="13">
        <f>C68*('[1]Materials Properties'!$B$9/2)/B68</f>
        <v>106.25</v>
      </c>
      <c r="E68" s="15">
        <f>5*A68*'[1]Materials Properties'!$B$7^4/(384*'[1]Materials Properties'!$B$4*B68)</f>
        <v>4.7297898860398861</v>
      </c>
      <c r="F68" s="13">
        <f>'[1]Materials Properties'!$C$4/D68</f>
        <v>0.6588235294117647</v>
      </c>
    </row>
    <row r="69" spans="1:6" x14ac:dyDescent="0.3">
      <c r="A69" s="19">
        <v>1.8</v>
      </c>
      <c r="B69" s="13">
        <f>'[1]Materials Properties'!$B$8*'[1]Materials Properties'!$B$9^3/12</f>
        <v>2500</v>
      </c>
      <c r="C69" s="14">
        <f>A69*'[1]Materials Properties'!$B$7^2/8</f>
        <v>56250</v>
      </c>
      <c r="D69" s="13">
        <f>C69*('[1]Materials Properties'!$B$9/2)/B69</f>
        <v>112.5</v>
      </c>
      <c r="E69" s="15">
        <f>5*A69*'[1]Materials Properties'!$B$7^4/(384*'[1]Materials Properties'!$B$4*B69)</f>
        <v>5.0080128205128203</v>
      </c>
      <c r="F69" s="13">
        <f>'[1]Materials Properties'!$C$4/D69</f>
        <v>0.62222222222222223</v>
      </c>
    </row>
    <row r="70" spans="1:6" x14ac:dyDescent="0.3">
      <c r="A70" s="19">
        <v>1.9</v>
      </c>
      <c r="B70" s="13">
        <f>'[1]Materials Properties'!$B$8*'[1]Materials Properties'!$B$9^3/12</f>
        <v>2500</v>
      </c>
      <c r="C70" s="14">
        <f>A70*'[1]Materials Properties'!$B$7^2/8</f>
        <v>59375</v>
      </c>
      <c r="D70" s="13">
        <f>C70*('[1]Materials Properties'!$B$9/2)/B70</f>
        <v>118.75</v>
      </c>
      <c r="E70" s="15">
        <f>5*A70*'[1]Materials Properties'!$B$7^4/(384*'[1]Materials Properties'!$B$4*B70)</f>
        <v>5.2862357549857553</v>
      </c>
      <c r="F70" s="13">
        <f>'[1]Materials Properties'!$C$4/D70</f>
        <v>0.58947368421052626</v>
      </c>
    </row>
    <row r="71" spans="1:6" x14ac:dyDescent="0.3">
      <c r="A71" s="19">
        <v>2</v>
      </c>
      <c r="B71" s="13">
        <f>'[1]Materials Properties'!$B$8*'[1]Materials Properties'!$B$9^3/12</f>
        <v>2500</v>
      </c>
      <c r="C71" s="14">
        <f>A71*'[1]Materials Properties'!$B$7^2/8</f>
        <v>62500</v>
      </c>
      <c r="D71" s="13">
        <f>C71*('[1]Materials Properties'!$B$9/2)/B71</f>
        <v>125</v>
      </c>
      <c r="E71" s="15">
        <f>5*A71*'[1]Materials Properties'!$B$7^4/(384*'[1]Materials Properties'!$B$4*B71)</f>
        <v>5.5644586894586894</v>
      </c>
      <c r="F71" s="13">
        <f>'[1]Materials Properties'!$C$4/D71</f>
        <v>0.56000000000000005</v>
      </c>
    </row>
    <row r="73" spans="1:6" x14ac:dyDescent="0.3">
      <c r="A73" s="18" t="s">
        <v>22</v>
      </c>
      <c r="B73" s="8"/>
      <c r="C73" s="8"/>
      <c r="D73" s="8"/>
      <c r="E73" s="8"/>
      <c r="F73" s="8"/>
    </row>
    <row r="74" spans="1:6" ht="26.4" x14ac:dyDescent="0.3">
      <c r="A74" s="4" t="s">
        <v>24</v>
      </c>
      <c r="B74" s="4" t="s">
        <v>12</v>
      </c>
      <c r="C74" s="4" t="s">
        <v>13</v>
      </c>
      <c r="D74" s="4" t="s">
        <v>14</v>
      </c>
      <c r="E74" s="4" t="s">
        <v>15</v>
      </c>
      <c r="F74" s="4" t="s">
        <v>11</v>
      </c>
    </row>
    <row r="75" spans="1:6" x14ac:dyDescent="0.3">
      <c r="A75" s="19">
        <v>0.1</v>
      </c>
      <c r="B75" s="13">
        <f>'[1]Materials Properties'!$B$8*'[1]Materials Properties'!$B$9^3/12</f>
        <v>2500</v>
      </c>
      <c r="C75" s="14">
        <f>A75*'[1]Materials Properties'!$B$7^2/8</f>
        <v>3125</v>
      </c>
      <c r="D75" s="13">
        <f>C75*('[1]Materials Properties'!$B$9/2)/B75</f>
        <v>6.25</v>
      </c>
      <c r="E75" s="15">
        <f>5*A75*'[1]Materials Properties'!$B$7^4/(384*'[1]Materials Properties'!$B$5*B75)</f>
        <v>14.153079710144928</v>
      </c>
      <c r="F75" s="13">
        <f>'[1]Materials Properties'!$C$5/D75</f>
        <v>6.4</v>
      </c>
    </row>
    <row r="76" spans="1:6" x14ac:dyDescent="0.3">
      <c r="A76" s="19">
        <v>0.2</v>
      </c>
      <c r="B76" s="13">
        <f>'[1]Materials Properties'!$B$8*'[1]Materials Properties'!$B$9^3/12</f>
        <v>2500</v>
      </c>
      <c r="C76" s="14">
        <f>A76*'[1]Materials Properties'!$B$7^2/8</f>
        <v>6250</v>
      </c>
      <c r="D76" s="13">
        <f>C76*('[1]Materials Properties'!$B$9/2)/B76</f>
        <v>12.5</v>
      </c>
      <c r="E76" s="15">
        <f>5*A76*'[1]Materials Properties'!$B$7^4/(384*'[1]Materials Properties'!$B$5*B76)</f>
        <v>28.306159420289855</v>
      </c>
      <c r="F76" s="13">
        <f>'[1]Materials Properties'!$C$5/D76</f>
        <v>3.2</v>
      </c>
    </row>
    <row r="77" spans="1:6" x14ac:dyDescent="0.3">
      <c r="A77" s="19">
        <v>0.3</v>
      </c>
      <c r="B77" s="13">
        <f>'[1]Materials Properties'!$B$8*'[1]Materials Properties'!$B$9^3/12</f>
        <v>2500</v>
      </c>
      <c r="C77" s="14">
        <f>A77*'[1]Materials Properties'!$B$7^2/8</f>
        <v>9375</v>
      </c>
      <c r="D77" s="13">
        <f>C77*('[1]Materials Properties'!$B$9/2)/B77</f>
        <v>18.75</v>
      </c>
      <c r="E77" s="15">
        <f>5*A77*'[1]Materials Properties'!$B$7^4/(384*'[1]Materials Properties'!$B$5*B77)</f>
        <v>42.459239130434781</v>
      </c>
      <c r="F77" s="13">
        <f>'[1]Materials Properties'!$C$5/D77</f>
        <v>2.1333333333333333</v>
      </c>
    </row>
    <row r="78" spans="1:6" x14ac:dyDescent="0.3">
      <c r="A78" s="19">
        <v>0.4</v>
      </c>
      <c r="B78" s="13">
        <f>'[1]Materials Properties'!$B$8*'[1]Materials Properties'!$B$9^3/12</f>
        <v>2500</v>
      </c>
      <c r="C78" s="14">
        <f>A78*'[1]Materials Properties'!$B$7^2/8</f>
        <v>12500</v>
      </c>
      <c r="D78" s="13">
        <f>C78*('[1]Materials Properties'!$B$9/2)/B78</f>
        <v>25</v>
      </c>
      <c r="E78" s="15">
        <f>5*A78*'[1]Materials Properties'!$B$7^4/(384*'[1]Materials Properties'!$B$5*B78)</f>
        <v>56.612318840579711</v>
      </c>
      <c r="F78" s="13">
        <f>'[1]Materials Properties'!$C$5/D78</f>
        <v>1.6</v>
      </c>
    </row>
    <row r="79" spans="1:6" x14ac:dyDescent="0.3">
      <c r="A79" s="19">
        <v>0.5</v>
      </c>
      <c r="B79" s="13">
        <f>'[1]Materials Properties'!$B$8*'[1]Materials Properties'!$B$9^3/12</f>
        <v>2500</v>
      </c>
      <c r="C79" s="14">
        <f>A79*'[1]Materials Properties'!$B$7^2/8</f>
        <v>15625</v>
      </c>
      <c r="D79" s="13">
        <f>C79*('[1]Materials Properties'!$B$9/2)/B79</f>
        <v>31.25</v>
      </c>
      <c r="E79" s="15">
        <f>5*A79*'[1]Materials Properties'!$B$7^4/(384*'[1]Materials Properties'!$B$5*B79)</f>
        <v>70.76539855072464</v>
      </c>
      <c r="F79" s="13">
        <f>'[1]Materials Properties'!$C$5/D79</f>
        <v>1.28</v>
      </c>
    </row>
    <row r="80" spans="1:6" x14ac:dyDescent="0.3">
      <c r="A80" s="19">
        <v>0.6</v>
      </c>
      <c r="B80" s="13">
        <f>'[1]Materials Properties'!$B$8*'[1]Materials Properties'!$B$9^3/12</f>
        <v>2500</v>
      </c>
      <c r="C80" s="14">
        <f>A80*'[1]Materials Properties'!$B$7^2/8</f>
        <v>18750</v>
      </c>
      <c r="D80" s="13">
        <f>C80*('[1]Materials Properties'!$B$9/2)/B80</f>
        <v>37.5</v>
      </c>
      <c r="E80" s="15">
        <f>5*A80*'[1]Materials Properties'!$B$7^4/(384*'[1]Materials Properties'!$B$5*B80)</f>
        <v>84.918478260869563</v>
      </c>
      <c r="F80" s="13">
        <f>'[1]Materials Properties'!$C$5/D80</f>
        <v>1.0666666666666667</v>
      </c>
    </row>
    <row r="81" spans="1:6" x14ac:dyDescent="0.3">
      <c r="A81" s="19">
        <v>0.7</v>
      </c>
      <c r="B81" s="13">
        <f>'[1]Materials Properties'!$B$8*'[1]Materials Properties'!$B$9^3/12</f>
        <v>2500</v>
      </c>
      <c r="C81" s="14">
        <f>A81*'[1]Materials Properties'!$B$7^2/8</f>
        <v>21875</v>
      </c>
      <c r="D81" s="13">
        <f>C81*('[1]Materials Properties'!$B$9/2)/B81</f>
        <v>43.75</v>
      </c>
      <c r="E81" s="15">
        <f>5*A81*'[1]Materials Properties'!$B$7^4/(384*'[1]Materials Properties'!$B$5*B81)</f>
        <v>99.071557971014499</v>
      </c>
      <c r="F81" s="13">
        <f>'[1]Materials Properties'!$C$5/D81</f>
        <v>0.91428571428571426</v>
      </c>
    </row>
    <row r="82" spans="1:6" x14ac:dyDescent="0.3">
      <c r="A82" s="19">
        <v>0.8</v>
      </c>
      <c r="B82" s="13">
        <f>'[1]Materials Properties'!$B$8*'[1]Materials Properties'!$B$9^3/12</f>
        <v>2500</v>
      </c>
      <c r="C82" s="14">
        <f>A82*'[1]Materials Properties'!$B$7^2/8</f>
        <v>25000</v>
      </c>
      <c r="D82" s="13">
        <f>C82*('[1]Materials Properties'!$B$9/2)/B82</f>
        <v>50</v>
      </c>
      <c r="E82" s="15">
        <f>5*A82*'[1]Materials Properties'!$B$7^4/(384*'[1]Materials Properties'!$B$5*B82)</f>
        <v>113.22463768115942</v>
      </c>
      <c r="F82" s="13">
        <f>'[1]Materials Properties'!$C$5/D82</f>
        <v>0.8</v>
      </c>
    </row>
    <row r="83" spans="1:6" x14ac:dyDescent="0.3">
      <c r="A83" s="19">
        <v>0.9</v>
      </c>
      <c r="B83" s="13">
        <f>'[1]Materials Properties'!$B$8*'[1]Materials Properties'!$B$9^3/12</f>
        <v>2500</v>
      </c>
      <c r="C83" s="14">
        <f>A83*'[1]Materials Properties'!$B$7^2/8</f>
        <v>28125</v>
      </c>
      <c r="D83" s="13">
        <f>C83*('[1]Materials Properties'!$B$9/2)/B83</f>
        <v>56.25</v>
      </c>
      <c r="E83" s="15">
        <f>5*A83*'[1]Materials Properties'!$B$7^4/(384*'[1]Materials Properties'!$B$5*B83)</f>
        <v>127.37771739130434</v>
      </c>
      <c r="F83" s="13">
        <f>'[1]Materials Properties'!$C$5/D83</f>
        <v>0.71111111111111114</v>
      </c>
    </row>
    <row r="84" spans="1:6" x14ac:dyDescent="0.3">
      <c r="A84" s="19">
        <v>1</v>
      </c>
      <c r="B84" s="13">
        <f>'[1]Materials Properties'!$B$8*'[1]Materials Properties'!$B$9^3/12</f>
        <v>2500</v>
      </c>
      <c r="C84" s="14">
        <f>A84*'[1]Materials Properties'!$B$7^2/8</f>
        <v>31250</v>
      </c>
      <c r="D84" s="13">
        <f>C84*('[1]Materials Properties'!$B$9/2)/B84</f>
        <v>62.5</v>
      </c>
      <c r="E84" s="15">
        <f>5*A84*'[1]Materials Properties'!$B$7^4/(384*'[1]Materials Properties'!$B$5*B84)</f>
        <v>141.53079710144928</v>
      </c>
      <c r="F84" s="13">
        <f>'[1]Materials Properties'!$C$5/D84</f>
        <v>0.64</v>
      </c>
    </row>
    <row r="85" spans="1:6" x14ac:dyDescent="0.3">
      <c r="A85" s="19">
        <v>1.1000000000000001</v>
      </c>
      <c r="B85" s="13">
        <f>'[1]Materials Properties'!$B$8*'[1]Materials Properties'!$B$9^3/12</f>
        <v>2500</v>
      </c>
      <c r="C85" s="14">
        <f>A85*'[1]Materials Properties'!$B$7^2/8</f>
        <v>34375</v>
      </c>
      <c r="D85" s="13">
        <f>C85*('[1]Materials Properties'!$B$9/2)/B85</f>
        <v>68.75</v>
      </c>
      <c r="E85" s="15">
        <f>5*A85*'[1]Materials Properties'!$B$7^4/(384*'[1]Materials Properties'!$B$5*B85)</f>
        <v>155.68387681159419</v>
      </c>
      <c r="F85" s="13">
        <f>'[1]Materials Properties'!$C$5/D85</f>
        <v>0.58181818181818179</v>
      </c>
    </row>
    <row r="86" spans="1:6" x14ac:dyDescent="0.3">
      <c r="A86" s="19">
        <v>1.2</v>
      </c>
      <c r="B86" s="13">
        <f>'[1]Materials Properties'!$B$8*'[1]Materials Properties'!$B$9^3/12</f>
        <v>2500</v>
      </c>
      <c r="C86" s="14">
        <f>A86*'[1]Materials Properties'!$B$7^2/8</f>
        <v>37500</v>
      </c>
      <c r="D86" s="13">
        <f>C86*('[1]Materials Properties'!$B$9/2)/B86</f>
        <v>75</v>
      </c>
      <c r="E86" s="15">
        <f>5*A86*'[1]Materials Properties'!$B$7^4/(384*'[1]Materials Properties'!$B$5*B86)</f>
        <v>169.83695652173913</v>
      </c>
      <c r="F86" s="13">
        <f>'[1]Materials Properties'!$C$5/D86</f>
        <v>0.53333333333333333</v>
      </c>
    </row>
    <row r="87" spans="1:6" x14ac:dyDescent="0.3">
      <c r="A87" s="19">
        <v>1.3</v>
      </c>
      <c r="B87" s="13">
        <f>'[1]Materials Properties'!$B$8*'[1]Materials Properties'!$B$9^3/12</f>
        <v>2500</v>
      </c>
      <c r="C87" s="14">
        <f>A87*'[1]Materials Properties'!$B$7^2/8</f>
        <v>40625</v>
      </c>
      <c r="D87" s="13">
        <f>C87*('[1]Materials Properties'!$B$9/2)/B87</f>
        <v>81.25</v>
      </c>
      <c r="E87" s="15">
        <f>5*A87*'[1]Materials Properties'!$B$7^4/(384*'[1]Materials Properties'!$B$5*B87)</f>
        <v>183.99003623188406</v>
      </c>
      <c r="F87" s="13">
        <f>'[1]Materials Properties'!$C$5/D87</f>
        <v>0.49230769230769234</v>
      </c>
    </row>
    <row r="88" spans="1:6" x14ac:dyDescent="0.3">
      <c r="A88" s="19">
        <v>1.4</v>
      </c>
      <c r="B88" s="13">
        <f>'[1]Materials Properties'!$B$8*'[1]Materials Properties'!$B$9^3/12</f>
        <v>2500</v>
      </c>
      <c r="C88" s="14">
        <f>A88*'[1]Materials Properties'!$B$7^2/8</f>
        <v>43750</v>
      </c>
      <c r="D88" s="13">
        <f>C88*('[1]Materials Properties'!$B$9/2)/B88</f>
        <v>87.5</v>
      </c>
      <c r="E88" s="15">
        <f>5*A88*'[1]Materials Properties'!$B$7^4/(384*'[1]Materials Properties'!$B$5*B88)</f>
        <v>198.143115942029</v>
      </c>
      <c r="F88" s="13">
        <f>'[1]Materials Properties'!$C$5/D88</f>
        <v>0.45714285714285713</v>
      </c>
    </row>
    <row r="89" spans="1:6" x14ac:dyDescent="0.3">
      <c r="A89" s="19">
        <v>1.5</v>
      </c>
      <c r="B89" s="13">
        <f>'[1]Materials Properties'!$B$8*'[1]Materials Properties'!$B$9^3/12</f>
        <v>2500</v>
      </c>
      <c r="C89" s="14">
        <f>A89*'[1]Materials Properties'!$B$7^2/8</f>
        <v>46875</v>
      </c>
      <c r="D89" s="13">
        <f>C89*('[1]Materials Properties'!$B$9/2)/B89</f>
        <v>93.75</v>
      </c>
      <c r="E89" s="15">
        <f>5*A89*'[1]Materials Properties'!$B$7^4/(384*'[1]Materials Properties'!$B$5*B89)</f>
        <v>212.29619565217391</v>
      </c>
      <c r="F89" s="13">
        <f>'[1]Materials Properties'!$C$5/D89</f>
        <v>0.42666666666666669</v>
      </c>
    </row>
    <row r="90" spans="1:6" x14ac:dyDescent="0.3">
      <c r="A90" s="19">
        <v>1.6</v>
      </c>
      <c r="B90" s="13">
        <f>'[1]Materials Properties'!$B$8*'[1]Materials Properties'!$B$9^3/12</f>
        <v>2500</v>
      </c>
      <c r="C90" s="14">
        <f>A90*'[1]Materials Properties'!$B$7^2/8</f>
        <v>50000</v>
      </c>
      <c r="D90" s="13">
        <f>C90*('[1]Materials Properties'!$B$9/2)/B90</f>
        <v>100</v>
      </c>
      <c r="E90" s="15">
        <f>5*A90*'[1]Materials Properties'!$B$7^4/(384*'[1]Materials Properties'!$B$5*B90)</f>
        <v>226.44927536231884</v>
      </c>
      <c r="F90" s="13">
        <f>'[1]Materials Properties'!$C$5/D90</f>
        <v>0.4</v>
      </c>
    </row>
    <row r="91" spans="1:6" x14ac:dyDescent="0.3">
      <c r="A91" s="19">
        <v>1.7</v>
      </c>
      <c r="B91" s="13">
        <f>'[1]Materials Properties'!$B$8*'[1]Materials Properties'!$B$9^3/12</f>
        <v>2500</v>
      </c>
      <c r="C91" s="14">
        <f>A91*'[1]Materials Properties'!$B$7^2/8</f>
        <v>53125</v>
      </c>
      <c r="D91" s="13">
        <f>C91*('[1]Materials Properties'!$B$9/2)/B91</f>
        <v>106.25</v>
      </c>
      <c r="E91" s="15">
        <f>5*A91*'[1]Materials Properties'!$B$7^4/(384*'[1]Materials Properties'!$B$5*B91)</f>
        <v>240.60235507246378</v>
      </c>
      <c r="F91" s="13">
        <f>'[1]Materials Properties'!$C$5/D91</f>
        <v>0.37647058823529411</v>
      </c>
    </row>
    <row r="92" spans="1:6" x14ac:dyDescent="0.3">
      <c r="A92" s="19">
        <v>1.8</v>
      </c>
      <c r="B92" s="13">
        <f>'[1]Materials Properties'!$B$8*'[1]Materials Properties'!$B$9^3/12</f>
        <v>2500</v>
      </c>
      <c r="C92" s="14">
        <f>A92*'[1]Materials Properties'!$B$7^2/8</f>
        <v>56250</v>
      </c>
      <c r="D92" s="13">
        <f>C92*('[1]Materials Properties'!$B$9/2)/B92</f>
        <v>112.5</v>
      </c>
      <c r="E92" s="15">
        <f>5*A92*'[1]Materials Properties'!$B$7^4/(384*'[1]Materials Properties'!$B$5*B92)</f>
        <v>254.75543478260869</v>
      </c>
      <c r="F92" s="13">
        <f>'[1]Materials Properties'!$C$5/D92</f>
        <v>0.35555555555555557</v>
      </c>
    </row>
    <row r="93" spans="1:6" x14ac:dyDescent="0.3">
      <c r="A93" s="19">
        <v>1.9</v>
      </c>
      <c r="B93" s="13">
        <f>'[1]Materials Properties'!$B$8*'[1]Materials Properties'!$B$9^3/12</f>
        <v>2500</v>
      </c>
      <c r="C93" s="14">
        <f>A93*'[1]Materials Properties'!$B$7^2/8</f>
        <v>59375</v>
      </c>
      <c r="D93" s="13">
        <f>C93*('[1]Materials Properties'!$B$9/2)/B93</f>
        <v>118.75</v>
      </c>
      <c r="E93" s="15">
        <f>5*A93*'[1]Materials Properties'!$B$7^4/(384*'[1]Materials Properties'!$B$5*B93)</f>
        <v>268.90851449275362</v>
      </c>
      <c r="F93" s="13">
        <f>'[1]Materials Properties'!$C$5/D93</f>
        <v>0.33684210526315789</v>
      </c>
    </row>
    <row r="94" spans="1:6" x14ac:dyDescent="0.3">
      <c r="A94" s="19">
        <v>2</v>
      </c>
      <c r="B94" s="13">
        <f>'[1]Materials Properties'!$B$8*'[1]Materials Properties'!$B$9^3/12</f>
        <v>2500</v>
      </c>
      <c r="C94" s="14">
        <f>A94*'[1]Materials Properties'!$B$7^2/8</f>
        <v>62500</v>
      </c>
      <c r="D94" s="13">
        <f>C94*('[1]Materials Properties'!$B$9/2)/B94</f>
        <v>125</v>
      </c>
      <c r="E94" s="15">
        <f>5*A94*'[1]Materials Properties'!$B$7^4/(384*'[1]Materials Properties'!$B$5*B94)</f>
        <v>283.06159420289856</v>
      </c>
      <c r="F94" s="13">
        <f>'[1]Materials Properties'!$C$5/D94</f>
        <v>0.32</v>
      </c>
    </row>
  </sheetData>
  <mergeCells count="6">
    <mergeCell ref="A1:F1"/>
    <mergeCell ref="A2:F2"/>
    <mergeCell ref="A4:F4"/>
    <mergeCell ref="A27:F27"/>
    <mergeCell ref="A50:F50"/>
    <mergeCell ref="A73:F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5EBF-97EF-40B6-B984-B6F48BB49C33}">
  <dimension ref="A1:AG2"/>
  <sheetViews>
    <sheetView zoomScale="70" workbookViewId="0">
      <selection activeCell="U12" sqref="U12"/>
    </sheetView>
  </sheetViews>
  <sheetFormatPr defaultRowHeight="14.4" x14ac:dyDescent="0.3"/>
  <cols>
    <col min="1" max="1" width="24.5546875" customWidth="1"/>
  </cols>
  <sheetData>
    <row r="1" spans="1:33" ht="16.8" x14ac:dyDescent="0.3">
      <c r="A1" s="9" t="s">
        <v>31</v>
      </c>
      <c r="B1" s="8"/>
      <c r="C1" s="8"/>
      <c r="D1" s="8"/>
      <c r="E1" s="8"/>
      <c r="F1" s="8"/>
    </row>
    <row r="2" spans="1:33" x14ac:dyDescent="0.3">
      <c r="A2" s="11" t="s">
        <v>32</v>
      </c>
      <c r="B2" s="8"/>
      <c r="C2" s="8"/>
      <c r="D2" s="8"/>
      <c r="E2" s="8"/>
      <c r="F2" s="8"/>
      <c r="H2" s="20" t="s">
        <v>42</v>
      </c>
      <c r="I2" s="20"/>
      <c r="J2" s="20"/>
      <c r="K2" s="20"/>
      <c r="L2" s="20"/>
      <c r="M2" s="20"/>
      <c r="N2" s="20"/>
      <c r="O2" s="20"/>
      <c r="Q2" s="20" t="s">
        <v>40</v>
      </c>
      <c r="R2" s="20"/>
      <c r="S2" s="20"/>
      <c r="T2" s="20"/>
      <c r="U2" s="20"/>
      <c r="V2" s="20"/>
      <c r="W2" s="20"/>
      <c r="X2" s="20"/>
      <c r="Z2" s="20" t="s">
        <v>41</v>
      </c>
      <c r="AA2" s="20"/>
      <c r="AB2" s="20"/>
      <c r="AC2" s="20"/>
      <c r="AD2" s="20"/>
      <c r="AE2" s="20"/>
      <c r="AF2" s="20"/>
      <c r="AG2" s="20"/>
    </row>
  </sheetData>
  <mergeCells count="5">
    <mergeCell ref="Z2:AG2"/>
    <mergeCell ref="A1:F1"/>
    <mergeCell ref="A2:F2"/>
    <mergeCell ref="H2:O2"/>
    <mergeCell ref="Q2:X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D46C-D177-47AB-A82F-C19083949629}">
  <dimension ref="A1:W23"/>
  <sheetViews>
    <sheetView topLeftCell="C1" workbookViewId="0">
      <selection activeCell="T3" sqref="T3:V23"/>
    </sheetView>
  </sheetViews>
  <sheetFormatPr defaultRowHeight="14.4" x14ac:dyDescent="0.3"/>
  <cols>
    <col min="3" max="3" width="9.77734375" bestFit="1" customWidth="1"/>
    <col min="7" max="7" width="12.109375" customWidth="1"/>
    <col min="19" max="19" width="12.5546875" customWidth="1"/>
  </cols>
  <sheetData>
    <row r="1" spans="1:23" x14ac:dyDescent="0.3">
      <c r="A1" s="1" t="s">
        <v>37</v>
      </c>
      <c r="B1" s="1"/>
    </row>
    <row r="2" spans="1:23" x14ac:dyDescent="0.3">
      <c r="A2" s="1" t="s">
        <v>38</v>
      </c>
      <c r="B2" s="1"/>
      <c r="G2" s="1" t="s">
        <v>39</v>
      </c>
      <c r="M2" s="1" t="s">
        <v>40</v>
      </c>
      <c r="S2" s="1" t="s">
        <v>41</v>
      </c>
    </row>
    <row r="3" spans="1:23" x14ac:dyDescent="0.3">
      <c r="A3" s="2" t="s">
        <v>33</v>
      </c>
      <c r="B3" s="2" t="s">
        <v>34</v>
      </c>
      <c r="C3" s="2" t="s">
        <v>35</v>
      </c>
      <c r="D3" s="2" t="s">
        <v>5</v>
      </c>
      <c r="E3" s="2" t="s">
        <v>36</v>
      </c>
      <c r="G3" s="2" t="s">
        <v>24</v>
      </c>
      <c r="H3" s="2" t="s">
        <v>34</v>
      </c>
      <c r="I3" s="2" t="s">
        <v>35</v>
      </c>
      <c r="J3" s="2" t="s">
        <v>5</v>
      </c>
      <c r="K3" s="2" t="s">
        <v>36</v>
      </c>
      <c r="M3" s="2" t="s">
        <v>33</v>
      </c>
      <c r="N3" s="2" t="s">
        <v>34</v>
      </c>
      <c r="O3" s="2" t="s">
        <v>35</v>
      </c>
      <c r="P3" s="2" t="s">
        <v>5</v>
      </c>
      <c r="Q3" s="2" t="s">
        <v>36</v>
      </c>
      <c r="S3" s="2" t="s">
        <v>24</v>
      </c>
      <c r="T3" s="2" t="s">
        <v>34</v>
      </c>
      <c r="U3" s="2" t="s">
        <v>35</v>
      </c>
      <c r="V3" s="2" t="s">
        <v>5</v>
      </c>
      <c r="W3" s="2" t="s">
        <v>36</v>
      </c>
    </row>
    <row r="4" spans="1:23" x14ac:dyDescent="0.3">
      <c r="A4">
        <v>10</v>
      </c>
      <c r="B4" s="3">
        <v>0.83333333333333337</v>
      </c>
      <c r="C4">
        <v>2.4154589371980677</v>
      </c>
      <c r="D4">
        <v>1.4245014245014245</v>
      </c>
      <c r="E4">
        <v>72.463768115942031</v>
      </c>
      <c r="G4">
        <v>0.1</v>
      </c>
      <c r="H4">
        <v>1.5625</v>
      </c>
      <c r="I4">
        <v>4.5289855072463769</v>
      </c>
      <c r="J4">
        <v>2.6709401709401708</v>
      </c>
      <c r="K4">
        <v>135.86956521739131</v>
      </c>
      <c r="M4">
        <v>10</v>
      </c>
      <c r="N4">
        <v>5.2083333333333336E-2</v>
      </c>
      <c r="O4">
        <v>0.15096618357487923</v>
      </c>
      <c r="P4">
        <v>8.903133903133903E-2</v>
      </c>
      <c r="Q4">
        <v>4.5289855072463769</v>
      </c>
      <c r="S4">
        <v>0.1</v>
      </c>
      <c r="T4">
        <v>0.16276041666666666</v>
      </c>
      <c r="U4">
        <v>0.4717693236714976</v>
      </c>
      <c r="V4">
        <v>0.27822293447293445</v>
      </c>
      <c r="W4">
        <v>14.153079710144928</v>
      </c>
    </row>
    <row r="5" spans="1:23" x14ac:dyDescent="0.3">
      <c r="A5">
        <f>A4+10</f>
        <v>20</v>
      </c>
      <c r="B5" s="3">
        <v>1.6666666666666667</v>
      </c>
      <c r="C5">
        <v>4.8309178743961354</v>
      </c>
      <c r="D5">
        <v>2.8490028490028489</v>
      </c>
      <c r="E5">
        <v>144.92753623188406</v>
      </c>
      <c r="G5">
        <f>G4+0.1</f>
        <v>0.2</v>
      </c>
      <c r="H5">
        <v>3.125</v>
      </c>
      <c r="I5">
        <v>9.0579710144927539</v>
      </c>
      <c r="J5">
        <v>5.3418803418803416</v>
      </c>
      <c r="K5">
        <v>271.73913043478262</v>
      </c>
      <c r="M5">
        <f>M4+10</f>
        <v>20</v>
      </c>
      <c r="N5">
        <v>0.10416666666666667</v>
      </c>
      <c r="O5">
        <v>0.30193236714975846</v>
      </c>
      <c r="P5">
        <v>0.17806267806267806</v>
      </c>
      <c r="Q5">
        <v>9.0579710144927539</v>
      </c>
      <c r="S5">
        <f>S4+0.1</f>
        <v>0.2</v>
      </c>
      <c r="T5">
        <v>0.32552083333333331</v>
      </c>
      <c r="U5">
        <v>0.9435386473429952</v>
      </c>
      <c r="V5">
        <v>0.55644586894586889</v>
      </c>
      <c r="W5">
        <v>28.306159420289855</v>
      </c>
    </row>
    <row r="6" spans="1:23" x14ac:dyDescent="0.3">
      <c r="A6">
        <f t="shared" ref="A6:A23" si="0">A5+10</f>
        <v>30</v>
      </c>
      <c r="B6" s="3">
        <v>2.5</v>
      </c>
      <c r="C6">
        <v>7.2463768115942031</v>
      </c>
      <c r="D6">
        <v>4.2735042735042734</v>
      </c>
      <c r="E6">
        <v>217.39130434782609</v>
      </c>
      <c r="G6">
        <f t="shared" ref="G6:G23" si="1">G5+0.1</f>
        <v>0.30000000000000004</v>
      </c>
      <c r="H6">
        <v>4.6875</v>
      </c>
      <c r="I6">
        <v>13.586956521739131</v>
      </c>
      <c r="J6">
        <v>8.0128205128205128</v>
      </c>
      <c r="K6">
        <v>407.60869565217394</v>
      </c>
      <c r="M6">
        <f t="shared" ref="M6:M23" si="2">M5+10</f>
        <v>30</v>
      </c>
      <c r="N6">
        <v>0.15625</v>
      </c>
      <c r="O6">
        <v>0.45289855072463769</v>
      </c>
      <c r="P6">
        <v>0.26709401709401709</v>
      </c>
      <c r="Q6">
        <v>13.586956521739131</v>
      </c>
      <c r="S6">
        <f t="shared" ref="S6:S23" si="3">S5+0.1</f>
        <v>0.30000000000000004</v>
      </c>
      <c r="T6">
        <v>0.48828125</v>
      </c>
      <c r="U6">
        <v>1.4153079710144927</v>
      </c>
      <c r="V6">
        <v>0.83466880341880345</v>
      </c>
      <c r="W6">
        <v>42.459239130434781</v>
      </c>
    </row>
    <row r="7" spans="1:23" x14ac:dyDescent="0.3">
      <c r="A7">
        <f t="shared" si="0"/>
        <v>40</v>
      </c>
      <c r="B7" s="3">
        <v>3.3333333333333335</v>
      </c>
      <c r="C7">
        <v>9.6618357487922708</v>
      </c>
      <c r="D7">
        <v>5.6980056980056979</v>
      </c>
      <c r="E7">
        <v>289.85507246376812</v>
      </c>
      <c r="G7">
        <f t="shared" si="1"/>
        <v>0.4</v>
      </c>
      <c r="H7">
        <v>6.25</v>
      </c>
      <c r="I7">
        <v>18.115942028985508</v>
      </c>
      <c r="J7">
        <v>10.683760683760683</v>
      </c>
      <c r="K7">
        <v>543.47826086956525</v>
      </c>
      <c r="M7">
        <f t="shared" si="2"/>
        <v>40</v>
      </c>
      <c r="N7">
        <v>0.20833333333333334</v>
      </c>
      <c r="O7">
        <v>0.60386473429951693</v>
      </c>
      <c r="P7">
        <v>0.35612535612535612</v>
      </c>
      <c r="Q7">
        <v>18.115942028985508</v>
      </c>
      <c r="S7">
        <f t="shared" si="3"/>
        <v>0.4</v>
      </c>
      <c r="T7">
        <v>0.65104166666666663</v>
      </c>
      <c r="U7">
        <v>1.8870772946859904</v>
      </c>
      <c r="V7">
        <v>1.1128917378917378</v>
      </c>
      <c r="W7">
        <v>56.612318840579711</v>
      </c>
    </row>
    <row r="8" spans="1:23" x14ac:dyDescent="0.3">
      <c r="A8">
        <f t="shared" si="0"/>
        <v>50</v>
      </c>
      <c r="B8" s="3">
        <v>4.166666666666667</v>
      </c>
      <c r="C8">
        <v>12.077294685990339</v>
      </c>
      <c r="D8">
        <v>7.1225071225071224</v>
      </c>
      <c r="E8">
        <v>362.31884057971013</v>
      </c>
      <c r="G8">
        <f t="shared" si="1"/>
        <v>0.5</v>
      </c>
      <c r="H8">
        <v>7.8125</v>
      </c>
      <c r="I8">
        <v>22.644927536231883</v>
      </c>
      <c r="J8">
        <v>13.354700854700855</v>
      </c>
      <c r="K8">
        <v>679.3478260869565</v>
      </c>
      <c r="M8">
        <f t="shared" si="2"/>
        <v>50</v>
      </c>
      <c r="N8">
        <v>0.26041666666666669</v>
      </c>
      <c r="O8">
        <v>0.75483091787439616</v>
      </c>
      <c r="P8">
        <v>0.44515669515669515</v>
      </c>
      <c r="Q8">
        <v>22.644927536231883</v>
      </c>
      <c r="S8">
        <f t="shared" si="3"/>
        <v>0.5</v>
      </c>
      <c r="T8">
        <v>0.81380208333333337</v>
      </c>
      <c r="U8">
        <v>2.3588466183574881</v>
      </c>
      <c r="V8">
        <v>1.3911146723646723</v>
      </c>
      <c r="W8">
        <v>70.76539855072464</v>
      </c>
    </row>
    <row r="9" spans="1:23" x14ac:dyDescent="0.3">
      <c r="A9">
        <f t="shared" si="0"/>
        <v>60</v>
      </c>
      <c r="B9" s="3">
        <v>5</v>
      </c>
      <c r="C9">
        <v>14.492753623188406</v>
      </c>
      <c r="D9">
        <v>8.5470085470085468</v>
      </c>
      <c r="E9">
        <v>434.78260869565219</v>
      </c>
      <c r="G9">
        <f t="shared" si="1"/>
        <v>0.6</v>
      </c>
      <c r="H9">
        <v>9.375</v>
      </c>
      <c r="I9">
        <v>27.173913043478262</v>
      </c>
      <c r="J9">
        <v>16.025641025641026</v>
      </c>
      <c r="K9">
        <v>815.21739130434787</v>
      </c>
      <c r="M9">
        <f t="shared" si="2"/>
        <v>60</v>
      </c>
      <c r="N9">
        <v>0.3125</v>
      </c>
      <c r="O9">
        <v>0.90579710144927539</v>
      </c>
      <c r="P9">
        <v>0.53418803418803418</v>
      </c>
      <c r="Q9">
        <v>27.173913043478262</v>
      </c>
      <c r="S9">
        <f t="shared" si="3"/>
        <v>0.6</v>
      </c>
      <c r="T9">
        <v>0.9765625</v>
      </c>
      <c r="U9">
        <v>2.8306159420289854</v>
      </c>
      <c r="V9">
        <v>1.6693376068376069</v>
      </c>
      <c r="W9">
        <v>84.918478260869563</v>
      </c>
    </row>
    <row r="10" spans="1:23" x14ac:dyDescent="0.3">
      <c r="A10">
        <f t="shared" si="0"/>
        <v>70</v>
      </c>
      <c r="B10" s="3">
        <v>5.833333333333333</v>
      </c>
      <c r="C10">
        <v>16.908212560386474</v>
      </c>
      <c r="D10">
        <v>9.9715099715099722</v>
      </c>
      <c r="E10">
        <v>507.24637681159419</v>
      </c>
      <c r="G10">
        <f t="shared" si="1"/>
        <v>0.7</v>
      </c>
      <c r="H10">
        <v>10.9375</v>
      </c>
      <c r="I10">
        <v>31.702898550724637</v>
      </c>
      <c r="J10">
        <v>18.696581196581196</v>
      </c>
      <c r="K10">
        <v>951.08695652173913</v>
      </c>
      <c r="M10">
        <f t="shared" si="2"/>
        <v>70</v>
      </c>
      <c r="N10">
        <v>0.36458333333333331</v>
      </c>
      <c r="O10">
        <v>1.0567632850241546</v>
      </c>
      <c r="P10">
        <v>0.62321937321937326</v>
      </c>
      <c r="Q10">
        <v>31.702898550724637</v>
      </c>
      <c r="S10">
        <f t="shared" si="3"/>
        <v>0.7</v>
      </c>
      <c r="T10">
        <v>1.1393229166666667</v>
      </c>
      <c r="U10">
        <v>3.3023852657004831</v>
      </c>
      <c r="V10">
        <v>1.9475605413105412</v>
      </c>
      <c r="W10">
        <v>99.071557971014499</v>
      </c>
    </row>
    <row r="11" spans="1:23" x14ac:dyDescent="0.3">
      <c r="A11">
        <f t="shared" si="0"/>
        <v>80</v>
      </c>
      <c r="B11" s="3">
        <v>6.666666666666667</v>
      </c>
      <c r="C11">
        <v>19.323671497584542</v>
      </c>
      <c r="D11">
        <v>11.396011396011396</v>
      </c>
      <c r="E11">
        <v>579.71014492753625</v>
      </c>
      <c r="G11">
        <f t="shared" si="1"/>
        <v>0.79999999999999993</v>
      </c>
      <c r="H11">
        <v>12.5</v>
      </c>
      <c r="I11">
        <v>36.231884057971016</v>
      </c>
      <c r="J11">
        <v>21.367521367521366</v>
      </c>
      <c r="K11">
        <v>1086.9565217391305</v>
      </c>
      <c r="M11">
        <f t="shared" si="2"/>
        <v>80</v>
      </c>
      <c r="N11">
        <v>0.41666666666666669</v>
      </c>
      <c r="O11">
        <v>1.2077294685990339</v>
      </c>
      <c r="P11">
        <v>0.71225071225071224</v>
      </c>
      <c r="Q11">
        <v>36.231884057971016</v>
      </c>
      <c r="S11">
        <f t="shared" si="3"/>
        <v>0.79999999999999993</v>
      </c>
      <c r="T11">
        <v>1.3020833333333333</v>
      </c>
      <c r="U11">
        <v>3.7741545893719808</v>
      </c>
      <c r="V11">
        <v>2.2257834757834756</v>
      </c>
      <c r="W11">
        <v>113.22463768115942</v>
      </c>
    </row>
    <row r="12" spans="1:23" x14ac:dyDescent="0.3">
      <c r="A12">
        <f t="shared" si="0"/>
        <v>90</v>
      </c>
      <c r="B12" s="3">
        <v>7.5</v>
      </c>
      <c r="C12">
        <v>21.739130434782609</v>
      </c>
      <c r="D12">
        <v>12.820512820512821</v>
      </c>
      <c r="E12">
        <v>652.17391304347825</v>
      </c>
      <c r="G12">
        <f t="shared" si="1"/>
        <v>0.89999999999999991</v>
      </c>
      <c r="H12">
        <v>14.0625</v>
      </c>
      <c r="I12">
        <v>40.760869565217391</v>
      </c>
      <c r="J12">
        <v>24.03846153846154</v>
      </c>
      <c r="K12">
        <v>1222.8260869565217</v>
      </c>
      <c r="M12">
        <f t="shared" si="2"/>
        <v>90</v>
      </c>
      <c r="N12">
        <v>0.46875</v>
      </c>
      <c r="O12">
        <v>1.3586956521739131</v>
      </c>
      <c r="P12">
        <v>0.80128205128205132</v>
      </c>
      <c r="Q12">
        <v>40.760869565217391</v>
      </c>
      <c r="S12">
        <f t="shared" si="3"/>
        <v>0.89999999999999991</v>
      </c>
      <c r="T12">
        <v>1.46484375</v>
      </c>
      <c r="U12">
        <v>4.2459239130434785</v>
      </c>
      <c r="V12">
        <v>2.5040064102564101</v>
      </c>
      <c r="W12">
        <v>127.37771739130434</v>
      </c>
    </row>
    <row r="13" spans="1:23" x14ac:dyDescent="0.3">
      <c r="A13">
        <f t="shared" si="0"/>
        <v>100</v>
      </c>
      <c r="B13" s="3">
        <v>8.3333333333333339</v>
      </c>
      <c r="C13">
        <v>24.154589371980677</v>
      </c>
      <c r="D13">
        <v>14.245014245014245</v>
      </c>
      <c r="E13">
        <v>724.63768115942025</v>
      </c>
      <c r="G13">
        <f t="shared" si="1"/>
        <v>0.99999999999999989</v>
      </c>
      <c r="H13">
        <v>15.625</v>
      </c>
      <c r="I13">
        <v>45.289855072463766</v>
      </c>
      <c r="J13">
        <v>26.70940170940171</v>
      </c>
      <c r="K13">
        <v>1358.695652173913</v>
      </c>
      <c r="M13">
        <f t="shared" si="2"/>
        <v>100</v>
      </c>
      <c r="N13">
        <v>0.52083333333333337</v>
      </c>
      <c r="O13">
        <v>1.5096618357487923</v>
      </c>
      <c r="P13">
        <v>0.8903133903133903</v>
      </c>
      <c r="Q13">
        <v>45.289855072463766</v>
      </c>
      <c r="S13">
        <f t="shared" si="3"/>
        <v>0.99999999999999989</v>
      </c>
      <c r="T13">
        <v>1.6276041666666667</v>
      </c>
      <c r="U13">
        <v>4.7176932367149762</v>
      </c>
      <c r="V13">
        <v>2.7822293447293447</v>
      </c>
      <c r="W13">
        <v>141.53079710144928</v>
      </c>
    </row>
    <row r="14" spans="1:23" x14ac:dyDescent="0.3">
      <c r="A14">
        <f t="shared" si="0"/>
        <v>110</v>
      </c>
      <c r="B14" s="3">
        <v>9.1666666666666661</v>
      </c>
      <c r="C14">
        <v>26.570048309178745</v>
      </c>
      <c r="D14">
        <v>15.66951566951567</v>
      </c>
      <c r="E14">
        <v>797.10144927536237</v>
      </c>
      <c r="G14">
        <f t="shared" si="1"/>
        <v>1.0999999999999999</v>
      </c>
      <c r="H14">
        <v>17.1875</v>
      </c>
      <c r="I14">
        <v>49.818840579710148</v>
      </c>
      <c r="J14">
        <v>29.380341880341881</v>
      </c>
      <c r="K14">
        <v>1494.5652173913043</v>
      </c>
      <c r="M14">
        <f t="shared" si="2"/>
        <v>110</v>
      </c>
      <c r="N14">
        <v>0.57291666666666663</v>
      </c>
      <c r="O14">
        <v>1.6606280193236715</v>
      </c>
      <c r="P14">
        <v>0.97934472934472938</v>
      </c>
      <c r="Q14">
        <v>49.818840579710148</v>
      </c>
      <c r="S14">
        <f t="shared" si="3"/>
        <v>1.0999999999999999</v>
      </c>
      <c r="T14">
        <v>1.7903645833333333</v>
      </c>
      <c r="U14">
        <v>5.189462560386473</v>
      </c>
      <c r="V14">
        <v>3.0604522792022792</v>
      </c>
      <c r="W14">
        <v>155.68387681159419</v>
      </c>
    </row>
    <row r="15" spans="1:23" x14ac:dyDescent="0.3">
      <c r="A15">
        <f t="shared" si="0"/>
        <v>120</v>
      </c>
      <c r="B15" s="3">
        <v>10</v>
      </c>
      <c r="C15">
        <v>28.985507246376812</v>
      </c>
      <c r="D15">
        <v>17.094017094017094</v>
      </c>
      <c r="E15">
        <v>869.56521739130437</v>
      </c>
      <c r="G15">
        <f t="shared" si="1"/>
        <v>1.2</v>
      </c>
      <c r="H15">
        <v>18.75</v>
      </c>
      <c r="I15">
        <v>54.347826086956523</v>
      </c>
      <c r="J15">
        <v>32.051282051282051</v>
      </c>
      <c r="K15">
        <v>1630.4347826086957</v>
      </c>
      <c r="M15">
        <f t="shared" si="2"/>
        <v>120</v>
      </c>
      <c r="N15">
        <v>0.625</v>
      </c>
      <c r="O15">
        <v>1.8115942028985508</v>
      </c>
      <c r="P15">
        <v>1.0683760683760684</v>
      </c>
      <c r="Q15">
        <v>54.347826086956523</v>
      </c>
      <c r="S15">
        <f t="shared" si="3"/>
        <v>1.2</v>
      </c>
      <c r="T15">
        <v>1.953125</v>
      </c>
      <c r="U15">
        <v>5.6612318840579707</v>
      </c>
      <c r="V15">
        <v>3.3386752136752138</v>
      </c>
      <c r="W15">
        <v>169.83695652173913</v>
      </c>
    </row>
    <row r="16" spans="1:23" x14ac:dyDescent="0.3">
      <c r="A16">
        <f t="shared" si="0"/>
        <v>130</v>
      </c>
      <c r="B16" s="3">
        <v>10.833333333333334</v>
      </c>
      <c r="C16">
        <v>31.40096618357488</v>
      </c>
      <c r="D16">
        <v>18.518518518518519</v>
      </c>
      <c r="E16">
        <v>942.02898550724638</v>
      </c>
      <c r="G16">
        <f t="shared" si="1"/>
        <v>1.3</v>
      </c>
      <c r="H16">
        <v>20.3125</v>
      </c>
      <c r="I16">
        <v>58.876811594202898</v>
      </c>
      <c r="J16">
        <v>34.722222222222221</v>
      </c>
      <c r="K16">
        <v>1766.304347826087</v>
      </c>
      <c r="M16">
        <f t="shared" si="2"/>
        <v>130</v>
      </c>
      <c r="N16">
        <v>0.67708333333333337</v>
      </c>
      <c r="O16">
        <v>1.96256038647343</v>
      </c>
      <c r="P16">
        <v>1.1574074074074074</v>
      </c>
      <c r="Q16">
        <v>58.876811594202898</v>
      </c>
      <c r="S16">
        <f t="shared" si="3"/>
        <v>1.3</v>
      </c>
      <c r="T16">
        <v>2.1158854166666665</v>
      </c>
      <c r="U16">
        <v>6.1330012077294684</v>
      </c>
      <c r="V16">
        <v>3.6168981481481484</v>
      </c>
      <c r="W16">
        <v>183.99003623188406</v>
      </c>
    </row>
    <row r="17" spans="1:23" x14ac:dyDescent="0.3">
      <c r="A17">
        <f t="shared" si="0"/>
        <v>140</v>
      </c>
      <c r="B17" s="3">
        <v>11.666666666666666</v>
      </c>
      <c r="C17">
        <v>33.816425120772948</v>
      </c>
      <c r="D17">
        <v>19.943019943019944</v>
      </c>
      <c r="E17">
        <v>1014.4927536231884</v>
      </c>
      <c r="G17">
        <f t="shared" si="1"/>
        <v>1.4000000000000001</v>
      </c>
      <c r="H17">
        <v>21.875</v>
      </c>
      <c r="I17">
        <v>63.405797101449274</v>
      </c>
      <c r="J17">
        <v>37.393162393162392</v>
      </c>
      <c r="K17">
        <v>1902.1739130434783</v>
      </c>
      <c r="M17">
        <f t="shared" si="2"/>
        <v>140</v>
      </c>
      <c r="N17">
        <v>0.72916666666666663</v>
      </c>
      <c r="O17">
        <v>2.1135265700483092</v>
      </c>
      <c r="P17">
        <v>1.2464387464387465</v>
      </c>
      <c r="Q17">
        <v>63.405797101449274</v>
      </c>
      <c r="S17">
        <f t="shared" si="3"/>
        <v>1.4000000000000001</v>
      </c>
      <c r="T17">
        <v>2.2786458333333335</v>
      </c>
      <c r="U17">
        <v>6.6047705314009661</v>
      </c>
      <c r="V17">
        <v>3.8951210826210825</v>
      </c>
      <c r="W17">
        <v>198.143115942029</v>
      </c>
    </row>
    <row r="18" spans="1:23" x14ac:dyDescent="0.3">
      <c r="A18">
        <f t="shared" si="0"/>
        <v>150</v>
      </c>
      <c r="B18" s="3">
        <v>12.5</v>
      </c>
      <c r="C18">
        <v>36.231884057971016</v>
      </c>
      <c r="D18">
        <v>21.367521367521366</v>
      </c>
      <c r="E18">
        <v>1086.9565217391305</v>
      </c>
      <c r="G18">
        <f t="shared" si="1"/>
        <v>1.5000000000000002</v>
      </c>
      <c r="H18">
        <v>23.4375</v>
      </c>
      <c r="I18">
        <v>67.934782608695656</v>
      </c>
      <c r="J18">
        <v>40.064102564102562</v>
      </c>
      <c r="K18">
        <v>2038.0434782608695</v>
      </c>
      <c r="M18">
        <f t="shared" si="2"/>
        <v>150</v>
      </c>
      <c r="N18">
        <v>0.78125</v>
      </c>
      <c r="O18">
        <v>2.2644927536231885</v>
      </c>
      <c r="P18">
        <v>1.3354700854700854</v>
      </c>
      <c r="Q18">
        <v>67.934782608695656</v>
      </c>
      <c r="S18">
        <f t="shared" si="3"/>
        <v>1.5000000000000002</v>
      </c>
      <c r="T18">
        <v>2.44140625</v>
      </c>
      <c r="U18">
        <v>7.0765398550724639</v>
      </c>
      <c r="V18">
        <v>4.173344017094017</v>
      </c>
      <c r="W18">
        <v>212.29619565217391</v>
      </c>
    </row>
    <row r="19" spans="1:23" x14ac:dyDescent="0.3">
      <c r="A19">
        <f t="shared" si="0"/>
        <v>160</v>
      </c>
      <c r="B19" s="3">
        <v>13.333333333333334</v>
      </c>
      <c r="C19">
        <v>38.647342995169083</v>
      </c>
      <c r="D19">
        <v>22.792022792022792</v>
      </c>
      <c r="E19">
        <v>1159.4202898550725</v>
      </c>
      <c r="G19">
        <f t="shared" si="1"/>
        <v>1.6000000000000003</v>
      </c>
      <c r="H19">
        <v>25</v>
      </c>
      <c r="I19">
        <v>72.463768115942031</v>
      </c>
      <c r="J19">
        <v>42.735042735042732</v>
      </c>
      <c r="K19">
        <v>2173.913043478261</v>
      </c>
      <c r="M19">
        <f t="shared" si="2"/>
        <v>160</v>
      </c>
      <c r="N19">
        <v>0.83333333333333337</v>
      </c>
      <c r="O19">
        <v>2.4154589371980677</v>
      </c>
      <c r="P19">
        <v>1.4245014245014245</v>
      </c>
      <c r="Q19">
        <v>72.463768115942031</v>
      </c>
      <c r="S19">
        <f t="shared" si="3"/>
        <v>1.6000000000000003</v>
      </c>
      <c r="T19">
        <v>2.6041666666666665</v>
      </c>
      <c r="U19">
        <v>7.5483091787439616</v>
      </c>
      <c r="V19">
        <v>4.4515669515669511</v>
      </c>
      <c r="W19">
        <v>226.44927536231884</v>
      </c>
    </row>
    <row r="20" spans="1:23" x14ac:dyDescent="0.3">
      <c r="A20">
        <f t="shared" si="0"/>
        <v>170</v>
      </c>
      <c r="B20" s="3">
        <v>14.166666666666666</v>
      </c>
      <c r="C20">
        <v>41.062801932367151</v>
      </c>
      <c r="D20">
        <v>24.216524216524217</v>
      </c>
      <c r="E20">
        <v>1231.8840579710145</v>
      </c>
      <c r="G20">
        <f t="shared" si="1"/>
        <v>1.7000000000000004</v>
      </c>
      <c r="H20">
        <v>26.5625</v>
      </c>
      <c r="I20">
        <v>76.992753623188406</v>
      </c>
      <c r="J20">
        <v>45.405982905982903</v>
      </c>
      <c r="K20">
        <v>2309.782608695652</v>
      </c>
      <c r="M20">
        <f t="shared" si="2"/>
        <v>170</v>
      </c>
      <c r="N20">
        <v>0.88541666666666663</v>
      </c>
      <c r="O20">
        <v>2.5664251207729469</v>
      </c>
      <c r="P20">
        <v>1.5135327635327636</v>
      </c>
      <c r="Q20">
        <v>76.992753623188406</v>
      </c>
      <c r="S20">
        <f t="shared" si="3"/>
        <v>1.7000000000000004</v>
      </c>
      <c r="T20">
        <v>2.7669270833333335</v>
      </c>
      <c r="U20">
        <v>8.0200785024154584</v>
      </c>
      <c r="V20">
        <v>4.7297898860398861</v>
      </c>
      <c r="W20">
        <v>240.60235507246378</v>
      </c>
    </row>
    <row r="21" spans="1:23" x14ac:dyDescent="0.3">
      <c r="A21">
        <f t="shared" si="0"/>
        <v>180</v>
      </c>
      <c r="B21" s="3">
        <v>15</v>
      </c>
      <c r="C21">
        <v>43.478260869565219</v>
      </c>
      <c r="D21">
        <v>25.641025641025642</v>
      </c>
      <c r="E21">
        <v>1304.3478260869565</v>
      </c>
      <c r="G21">
        <f t="shared" si="1"/>
        <v>1.8000000000000005</v>
      </c>
      <c r="H21">
        <v>28.125</v>
      </c>
      <c r="I21">
        <v>81.521739130434781</v>
      </c>
      <c r="J21">
        <v>48.07692307692308</v>
      </c>
      <c r="K21">
        <v>2445.6521739130435</v>
      </c>
      <c r="M21">
        <f t="shared" si="2"/>
        <v>180</v>
      </c>
      <c r="N21">
        <v>0.9375</v>
      </c>
      <c r="O21">
        <v>2.7173913043478262</v>
      </c>
      <c r="P21">
        <v>1.6025641025641026</v>
      </c>
      <c r="Q21">
        <v>81.521739130434781</v>
      </c>
      <c r="S21">
        <f t="shared" si="3"/>
        <v>1.8000000000000005</v>
      </c>
      <c r="T21">
        <v>2.9296875</v>
      </c>
      <c r="U21">
        <v>8.491847826086957</v>
      </c>
      <c r="V21">
        <v>5.0080128205128203</v>
      </c>
      <c r="W21">
        <v>254.75543478260869</v>
      </c>
    </row>
    <row r="22" spans="1:23" x14ac:dyDescent="0.3">
      <c r="A22">
        <f t="shared" si="0"/>
        <v>190</v>
      </c>
      <c r="B22" s="3">
        <v>15.833333333333334</v>
      </c>
      <c r="C22">
        <v>45.893719806763286</v>
      </c>
      <c r="D22">
        <v>27.065527065527064</v>
      </c>
      <c r="E22">
        <v>1376.8115942028985</v>
      </c>
      <c r="G22">
        <f t="shared" si="1"/>
        <v>1.9000000000000006</v>
      </c>
      <c r="H22">
        <v>29.6875</v>
      </c>
      <c r="I22">
        <v>86.050724637681157</v>
      </c>
      <c r="J22">
        <v>50.747863247863251</v>
      </c>
      <c r="K22">
        <v>2581.521739130435</v>
      </c>
      <c r="M22">
        <f t="shared" si="2"/>
        <v>190</v>
      </c>
      <c r="N22">
        <v>0.98958333333333337</v>
      </c>
      <c r="O22">
        <v>2.8683574879227054</v>
      </c>
      <c r="P22">
        <v>1.6915954415954415</v>
      </c>
      <c r="Q22">
        <v>86.050724637681157</v>
      </c>
      <c r="S22">
        <f t="shared" si="3"/>
        <v>1.9000000000000006</v>
      </c>
      <c r="T22">
        <v>3.0924479166666665</v>
      </c>
      <c r="U22">
        <v>8.9636171497584538</v>
      </c>
      <c r="V22">
        <v>5.2862357549857553</v>
      </c>
      <c r="W22">
        <v>268.90851449275362</v>
      </c>
    </row>
    <row r="23" spans="1:23" x14ac:dyDescent="0.3">
      <c r="A23">
        <f t="shared" si="0"/>
        <v>200</v>
      </c>
      <c r="B23" s="3">
        <v>16.666666666666668</v>
      </c>
      <c r="C23">
        <v>48.309178743961354</v>
      </c>
      <c r="D23">
        <v>28.490028490028489</v>
      </c>
      <c r="E23">
        <v>1449.2753623188405</v>
      </c>
      <c r="G23">
        <f t="shared" si="1"/>
        <v>2.0000000000000004</v>
      </c>
      <c r="H23">
        <v>31.25</v>
      </c>
      <c r="I23">
        <v>90.579710144927532</v>
      </c>
      <c r="J23">
        <v>53.418803418803421</v>
      </c>
      <c r="K23">
        <v>2717.391304347826</v>
      </c>
      <c r="M23">
        <f t="shared" si="2"/>
        <v>200</v>
      </c>
      <c r="N23">
        <v>1.0416666666666667</v>
      </c>
      <c r="O23">
        <v>3.0193236714975846</v>
      </c>
      <c r="P23">
        <v>1.7806267806267806</v>
      </c>
      <c r="Q23">
        <v>90.579710144927532</v>
      </c>
      <c r="S23">
        <f t="shared" si="3"/>
        <v>2.0000000000000004</v>
      </c>
      <c r="T23">
        <v>3.2552083333333335</v>
      </c>
      <c r="U23">
        <v>9.4353864734299524</v>
      </c>
      <c r="V23">
        <v>5.5644586894586894</v>
      </c>
      <c r="W23">
        <v>283.06159420289856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Materials Properties</vt:lpstr>
      <vt:lpstr>Cantilever + Point Load </vt:lpstr>
      <vt:lpstr>Cantilever + UDL</vt:lpstr>
      <vt:lpstr>Simply Supported + Point Load</vt:lpstr>
      <vt:lpstr>Simply Supported + UDL</vt:lpstr>
      <vt:lpstr>Graphs</vt:lpstr>
      <vt:lpstr>Data for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GARVIT  TIWARI</cp:lastModifiedBy>
  <dcterms:created xsi:type="dcterms:W3CDTF">2015-06-05T18:17:20Z</dcterms:created>
  <dcterms:modified xsi:type="dcterms:W3CDTF">2026-05-14T21:15:15Z</dcterms:modified>
</cp:coreProperties>
</file>